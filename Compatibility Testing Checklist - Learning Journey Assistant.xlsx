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8673" yWindow="-11730" windowWidth="18808" windowHeight="11110" tabRatio="600" firstSheet="0" activeTab="0" autoFilterDateGrouping="1"/>
  </bookViews>
  <sheets>
    <sheet xmlns:r="http://schemas.openxmlformats.org/officeDocument/2006/relationships" name="Test Metrics Summary" sheetId="1" state="visible" r:id="rId1"/>
    <sheet xmlns:r="http://schemas.openxmlformats.org/officeDocument/2006/relationships" name="Chrome (macOS)" sheetId="2" state="visible" r:id="rId2"/>
    <sheet xmlns:r="http://schemas.openxmlformats.org/officeDocument/2006/relationships" name="Firefox (macOS)" sheetId="3" state="visible" r:id="rId3"/>
    <sheet xmlns:r="http://schemas.openxmlformats.org/officeDocument/2006/relationships" name="Safari (macOS)" sheetId="4" state="visible" r:id="rId4"/>
    <sheet xmlns:r="http://schemas.openxmlformats.org/officeDocument/2006/relationships" name="iPhone 13 (Safari)" sheetId="5" state="visible" r:id="rId5"/>
    <sheet xmlns:r="http://schemas.openxmlformats.org/officeDocument/2006/relationships" name="Pixel 7 (Chrome)" sheetId="6" state="visible" r:id="rId6"/>
    <sheet xmlns:r="http://schemas.openxmlformats.org/officeDocument/2006/relationships" name="Variables" sheetId="7" state="visible" r:id="rId7"/>
  </sheets>
  <definedNames>
    <definedName name="Status">Variables!$A$2:$A$7</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22">
    <font>
      <name val="Arial"/>
      <sz val="10"/>
    </font>
    <font>
      <name val="Arial"/>
      <family val="2"/>
      <b val="1"/>
      <sz val="10"/>
    </font>
    <font>
      <name val="Arial"/>
      <family val="2"/>
      <sz val="10"/>
    </font>
    <font>
      <name val="Arial"/>
      <family val="2"/>
      <color indexed="23"/>
      <sz val="8"/>
    </font>
    <font>
      <name val="Arial"/>
      <family val="2"/>
      <sz val="20"/>
    </font>
    <font>
      <name val="Arial"/>
      <sz val="9"/>
    </font>
    <font>
      <name val="Arial"/>
      <family val="2"/>
      <sz val="9"/>
    </font>
    <font>
      <name val="Arial"/>
      <family val="2"/>
      <color indexed="23"/>
      <sz val="10"/>
    </font>
    <font>
      <name val="Arial"/>
      <color rgb="FF000000"/>
      <sz val="10"/>
    </font>
    <font>
      <name val="Arial"/>
      <b val="1"/>
      <sz val="10"/>
    </font>
    <font>
      <name val="Arial"/>
      <sz val="10"/>
    </font>
    <font>
      <name val="Arial"/>
      <family val="2"/>
      <color rgb="FF000000"/>
      <sz val="10"/>
    </font>
    <font>
      <name val="Arial"/>
      <family val="2"/>
      <b val="1"/>
      <sz val="20"/>
    </font>
    <font>
      <name val="Arial"/>
      <family val="2"/>
      <b val="1"/>
      <sz val="9"/>
    </font>
    <font>
      <name val="Arial"/>
      <family val="2"/>
      <i val="1"/>
      <color theme="2" tint="-0.499984740745262"/>
      <sz val="9"/>
    </font>
    <font>
      <name val="Arial"/>
      <family val="2"/>
      <b val="1"/>
      <color theme="0"/>
      <sz val="12"/>
    </font>
    <font>
      <name val="Arial"/>
      <b val="1"/>
      <sz val="12"/>
    </font>
    <font>
      <name val="Arial"/>
      <i val="1"/>
      <sz val="9"/>
    </font>
    <font>
      <name val="Arial"/>
      <b val="1"/>
      <sz val="20"/>
    </font>
    <font>
      <name val="Arial"/>
      <b val="1"/>
      <color theme="0"/>
      <sz val="10"/>
    </font>
    <font>
      <name val="Arial"/>
      <b val="1"/>
      <color rgb="FF00B0F0"/>
      <sz val="10"/>
    </font>
    <font>
      <name val="Arial"/>
      <b val="1"/>
      <color rgb="FF00B050"/>
      <sz val="10"/>
    </font>
  </fonts>
  <fills count="7">
    <fill>
      <patternFill/>
    </fill>
    <fill>
      <patternFill patternType="gray125"/>
    </fill>
    <fill>
      <patternFill patternType="solid">
        <fgColor theme="4" tint="0.7999816888943144"/>
        <bgColor indexed="64"/>
      </patternFill>
    </fill>
    <fill>
      <patternFill patternType="solid">
        <fgColor theme="7" tint="0.7999816888943144"/>
        <bgColor indexed="64"/>
      </patternFill>
    </fill>
    <fill>
      <patternFill patternType="solid">
        <fgColor theme="1"/>
        <bgColor indexed="64"/>
      </patternFill>
    </fill>
    <fill>
      <patternFill patternType="solid">
        <fgColor theme="5" tint="0.5999938962981048"/>
        <bgColor indexed="64"/>
      </patternFill>
    </fill>
    <fill>
      <patternFill patternType="solid">
        <fgColor rgb="FFF2F2F2"/>
      </patternFill>
    </fill>
  </fills>
  <borders count="26">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style="thin">
        <color indexed="64"/>
      </bottom>
      <diagonal/>
    </border>
    <border>
      <left style="medium">
        <color indexed="64"/>
      </left>
      <right style="medium">
        <color indexed="64"/>
      </right>
      <top/>
      <bottom/>
      <diagonal/>
    </border>
    <border>
      <left/>
      <right style="thin">
        <color rgb="FF000000"/>
      </right>
      <top style="thin">
        <color rgb="FF000000"/>
      </top>
      <bottom style="thin">
        <color rgb="FF000000"/>
      </bottom>
      <diagonal/>
    </border>
    <border>
      <left style="thin">
        <color indexed="64"/>
      </left>
      <right style="thin">
        <color indexed="64"/>
      </right>
      <top/>
      <bottom style="thin">
        <color indexed="64"/>
      </bottom>
      <diagonal/>
    </border>
    <border>
      <left/>
      <right/>
      <top/>
      <bottom style="thin">
        <color rgb="FF000000"/>
      </bottom>
      <diagonal/>
    </border>
    <border>
      <left style="thin">
        <color indexed="64"/>
      </left>
      <right/>
      <top style="thin">
        <color indexed="64"/>
      </top>
      <bottom style="thin">
        <color indexed="64"/>
      </bottom>
      <diagonal/>
    </border>
    <border>
      <left/>
      <right style="thin">
        <color rgb="FF000000"/>
      </right>
      <top/>
      <bottom/>
      <diagonal/>
    </border>
    <border>
      <left/>
      <right style="thin">
        <color indexed="64"/>
      </right>
      <top style="thin">
        <color indexed="64"/>
      </top>
      <bottom/>
      <diagonal/>
    </border>
    <border>
      <left/>
      <right/>
      <top style="thin">
        <color indexed="64"/>
      </top>
      <bottom style="thin">
        <color indexed="64"/>
      </bottom>
      <diagonal/>
    </border>
    <border>
      <left/>
      <right/>
      <top style="thin">
        <color rgb="FF000000"/>
      </top>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2">
    <xf numFmtId="0" fontId="10" fillId="0" borderId="0"/>
    <xf numFmtId="43" fontId="10" fillId="0" borderId="0"/>
  </cellStyleXfs>
  <cellXfs count="114">
    <xf numFmtId="0" fontId="0" fillId="0" borderId="0" pivotButton="0" quotePrefix="0" xfId="0"/>
    <xf numFmtId="0" fontId="2" fillId="0" borderId="0" applyAlignment="1" pivotButton="0" quotePrefix="0" xfId="0">
      <alignment horizontal="left" vertical="top"/>
    </xf>
    <xf numFmtId="0" fontId="2" fillId="0" borderId="0" pivotButton="0" quotePrefix="0" xfId="0"/>
    <xf numFmtId="0" fontId="2" fillId="0" borderId="0" applyAlignment="1" pivotButton="0" quotePrefix="0" xfId="0">
      <alignment vertical="top"/>
    </xf>
    <xf numFmtId="0" fontId="2" fillId="0" borderId="0" applyAlignment="1" pivotButton="0" quotePrefix="0" xfId="0">
      <alignment horizontal="center" vertical="top"/>
    </xf>
    <xf numFmtId="0" fontId="6" fillId="0"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0" fontId="0" fillId="0" borderId="0" applyAlignment="1" pivotButton="0" quotePrefix="0" xfId="0">
      <alignment vertical="center" wrapText="1"/>
    </xf>
    <xf numFmtId="0" fontId="0" fillId="0" borderId="0" applyAlignment="1" pivotButton="0" quotePrefix="0" xfId="0">
      <alignment vertical="top" wrapText="1"/>
    </xf>
    <xf numFmtId="0" fontId="2" fillId="0" borderId="0" applyAlignment="1" pivotButton="0" quotePrefix="0" xfId="0">
      <alignment horizontal="center" vertical="center" wrapText="1"/>
    </xf>
    <xf numFmtId="0" fontId="2" fillId="0" borderId="0" applyAlignment="1" pivotButton="0" quotePrefix="0" xfId="0">
      <alignment horizontal="left" vertical="center" wrapText="1"/>
    </xf>
    <xf numFmtId="0" fontId="1" fillId="0" borderId="0" applyAlignment="1" pivotButton="0" quotePrefix="0" xfId="0">
      <alignment horizontal="center" vertical="center" wrapText="1"/>
    </xf>
    <xf numFmtId="0" fontId="1" fillId="0" borderId="0" applyAlignment="1" pivotButton="0" quotePrefix="0" xfId="0">
      <alignment horizontal="left" vertical="center" wrapText="1"/>
    </xf>
    <xf numFmtId="0" fontId="0" fillId="0" borderId="1" applyAlignment="1" pivotButton="0" quotePrefix="0" xfId="0">
      <alignment vertical="top"/>
    </xf>
    <xf numFmtId="0" fontId="0" fillId="0" borderId="2" applyAlignment="1" pivotButton="0" quotePrefix="0" xfId="0">
      <alignment horizontal="center" vertical="center" wrapText="1"/>
    </xf>
    <xf numFmtId="0" fontId="0" fillId="0" borderId="2" applyAlignment="1" pivotButton="0" quotePrefix="0" xfId="0">
      <alignment horizontal="left" vertical="center" wrapText="1"/>
    </xf>
    <xf numFmtId="0" fontId="0" fillId="0" borderId="2" applyAlignment="1" pivotButton="0" quotePrefix="0" xfId="0">
      <alignment vertical="center" wrapText="1"/>
    </xf>
    <xf numFmtId="0" fontId="0" fillId="0" borderId="2" applyAlignment="1" pivotButton="0" quotePrefix="0" xfId="0">
      <alignment vertical="top"/>
    </xf>
    <xf numFmtId="0" fontId="0" fillId="0" borderId="3" applyAlignment="1" pivotButton="0" quotePrefix="0" xfId="0">
      <alignment vertical="top"/>
    </xf>
    <xf numFmtId="0" fontId="0" fillId="0" borderId="4" applyAlignment="1" pivotButton="0" quotePrefix="0" xfId="0">
      <alignment vertical="top"/>
    </xf>
    <xf numFmtId="0" fontId="12" fillId="0" borderId="0" applyAlignment="1" pivotButton="0" quotePrefix="0" xfId="0">
      <alignment vertical="top"/>
    </xf>
    <xf numFmtId="0" fontId="4" fillId="0" borderId="0" applyAlignment="1" pivotButton="0" quotePrefix="0" xfId="0">
      <alignment vertical="top"/>
    </xf>
    <xf numFmtId="0" fontId="0" fillId="0" borderId="5" applyAlignment="1" pivotButton="0" quotePrefix="0" xfId="0">
      <alignment vertical="top"/>
    </xf>
    <xf numFmtId="0" fontId="0" fillId="0" borderId="5" applyAlignment="1" pivotButton="0" quotePrefix="0" xfId="0">
      <alignment horizontal="center" vertical="top"/>
    </xf>
    <xf numFmtId="0" fontId="0" fillId="0" borderId="0" applyAlignment="1" pivotButton="0" quotePrefix="0" xfId="0">
      <alignment horizontal="center" vertical="top"/>
    </xf>
    <xf numFmtId="0" fontId="5" fillId="0" borderId="5" applyAlignment="1" pivotButton="0" quotePrefix="0" xfId="0">
      <alignment vertical="top"/>
    </xf>
    <xf numFmtId="0" fontId="5" fillId="0" borderId="0" applyAlignment="1" pivotButton="0" quotePrefix="0" xfId="0">
      <alignment vertical="top"/>
    </xf>
    <xf numFmtId="0" fontId="0" fillId="0" borderId="8" applyAlignment="1" pivotButton="0" quotePrefix="0" xfId="0">
      <alignment vertical="top"/>
    </xf>
    <xf numFmtId="0" fontId="3" fillId="0" borderId="10" applyAlignment="1" pivotButton="0" quotePrefix="0" xfId="0">
      <alignment horizontal="left" vertical="center"/>
    </xf>
    <xf numFmtId="0" fontId="7" fillId="0" borderId="10" applyAlignment="1" pivotButton="0" quotePrefix="0" xfId="0">
      <alignment vertical="center"/>
    </xf>
    <xf numFmtId="0" fontId="3" fillId="0" borderId="10" pivotButton="0" quotePrefix="0" xfId="0"/>
    <xf numFmtId="0" fontId="3" fillId="0" borderId="0" applyAlignment="1" pivotButton="0" quotePrefix="0" xfId="0">
      <alignment horizontal="left" vertical="center"/>
    </xf>
    <xf numFmtId="0" fontId="7" fillId="0" borderId="0" applyAlignment="1" pivotButton="0" quotePrefix="0" xfId="0">
      <alignment vertical="center"/>
    </xf>
    <xf numFmtId="0" fontId="3" fillId="0" borderId="0" pivotButton="0" quotePrefix="0" xfId="0"/>
    <xf numFmtId="0" fontId="0" fillId="0" borderId="7" applyAlignment="1" pivotButton="0" quotePrefix="0" xfId="0">
      <alignment vertical="top"/>
    </xf>
    <xf numFmtId="0" fontId="3" fillId="0" borderId="6" applyAlignment="1" pivotButton="0" quotePrefix="0" xfId="0">
      <alignment horizontal="left" vertical="center"/>
    </xf>
    <xf numFmtId="0" fontId="7" fillId="0" borderId="6" applyAlignment="1" pivotButton="0" quotePrefix="0" xfId="0">
      <alignment vertical="center"/>
    </xf>
    <xf numFmtId="0" fontId="3" fillId="0" borderId="6" pivotButton="0" quotePrefix="0" xfId="0"/>
    <xf numFmtId="0" fontId="0" fillId="0" borderId="12" applyAlignment="1" pivotButton="0" quotePrefix="0" xfId="0">
      <alignment vertical="top"/>
    </xf>
    <xf numFmtId="0" fontId="11" fillId="0" borderId="9" applyAlignment="1" pivotButton="0" quotePrefix="0" xfId="0">
      <alignment vertical="top" wrapText="1"/>
    </xf>
    <xf numFmtId="0" fontId="9" fillId="0" borderId="9" applyAlignment="1" pivotButton="0" quotePrefix="0" xfId="0">
      <alignment horizontal="center" vertical="center" wrapText="1"/>
    </xf>
    <xf numFmtId="0" fontId="9" fillId="0" borderId="17" applyAlignment="1" pivotButton="0" quotePrefix="0" xfId="0">
      <alignment horizontal="center" vertical="center" wrapText="1"/>
    </xf>
    <xf numFmtId="0" fontId="9" fillId="0" borderId="14" applyAlignment="1" pivotButton="0" quotePrefix="0" xfId="0">
      <alignment horizontal="center" vertical="center" wrapText="1"/>
    </xf>
    <xf numFmtId="0" fontId="2" fillId="0" borderId="9" applyAlignment="1" pivotButton="0" quotePrefix="0" xfId="0">
      <alignment vertical="top" wrapText="1"/>
    </xf>
    <xf numFmtId="0" fontId="9" fillId="0" borderId="16" applyAlignment="1" pivotButton="0" quotePrefix="0" xfId="0">
      <alignment horizontal="center" vertical="center" wrapText="1"/>
    </xf>
    <xf numFmtId="0" fontId="9" fillId="0" borderId="11" applyAlignment="1" pivotButton="0" quotePrefix="0" xfId="0">
      <alignment horizontal="center" vertical="center" wrapText="1"/>
    </xf>
    <xf numFmtId="0" fontId="9" fillId="0" borderId="13" applyAlignment="1" pivotButton="0" quotePrefix="0" xfId="0">
      <alignment horizontal="center" vertical="center" wrapText="1"/>
    </xf>
    <xf numFmtId="0" fontId="2" fillId="0" borderId="9" applyAlignment="1" pivotButton="0" quotePrefix="0" xfId="0">
      <alignment horizontal="left" vertical="top" wrapText="1"/>
    </xf>
    <xf numFmtId="0" fontId="9" fillId="0" borderId="0" applyAlignment="1" pivotButton="0" quotePrefix="0" xfId="0">
      <alignment horizontal="center" vertical="center" wrapText="1"/>
    </xf>
    <xf numFmtId="0" fontId="8" fillId="3" borderId="18" applyAlignment="1" pivotButton="0" quotePrefix="0" xfId="0">
      <alignment vertical="top" wrapText="1"/>
    </xf>
    <xf numFmtId="0" fontId="8" fillId="3" borderId="9" applyAlignment="1" pivotButton="0" quotePrefix="0" xfId="0">
      <alignment vertical="top" wrapText="1"/>
    </xf>
    <xf numFmtId="0" fontId="8" fillId="3" borderId="15" applyAlignment="1" pivotButton="0" quotePrefix="0" xfId="0">
      <alignment vertical="top" wrapText="1"/>
    </xf>
    <xf numFmtId="0" fontId="2" fillId="3" borderId="11" applyAlignment="1" pivotButton="0" quotePrefix="0" xfId="0">
      <alignment horizontal="left" vertical="top" wrapText="1"/>
    </xf>
    <xf numFmtId="0" fontId="13" fillId="0" borderId="0" applyAlignment="1" pivotButton="0" quotePrefix="0" xfId="0">
      <alignment horizontal="right" vertical="center"/>
    </xf>
    <xf numFmtId="0" fontId="6" fillId="0" borderId="9" applyAlignment="1" pivotButton="0" quotePrefix="0" xfId="0">
      <alignment vertical="center"/>
    </xf>
    <xf numFmtId="0" fontId="14" fillId="0" borderId="0" applyAlignment="1" pivotButton="0" quotePrefix="0" xfId="0">
      <alignment vertical="top"/>
    </xf>
    <xf numFmtId="0" fontId="2" fillId="0" borderId="9" applyAlignment="1" pivotButton="0" quotePrefix="0" xfId="0">
      <alignment vertical="top"/>
    </xf>
    <xf numFmtId="0" fontId="2" fillId="0" borderId="9" applyAlignment="1" pivotButton="0" quotePrefix="0" xfId="0">
      <alignment horizontal="left" vertical="top"/>
    </xf>
    <xf numFmtId="0" fontId="1" fillId="2" borderId="9" applyAlignment="1" pivotButton="0" quotePrefix="0" xfId="0">
      <alignment vertical="top"/>
    </xf>
    <xf numFmtId="0" fontId="1" fillId="2" borderId="9" pivotButton="0" quotePrefix="0" xfId="0"/>
    <xf numFmtId="0" fontId="2" fillId="0" borderId="9" pivotButton="0" quotePrefix="0" xfId="0"/>
    <xf numFmtId="0" fontId="2" fillId="3" borderId="19" applyAlignment="1" pivotButton="0" quotePrefix="0" xfId="0">
      <alignment horizontal="left" vertical="top" wrapText="1"/>
    </xf>
    <xf numFmtId="0" fontId="11" fillId="3" borderId="20" applyAlignment="1" pivotButton="0" quotePrefix="0" xfId="0">
      <alignment vertical="top"/>
    </xf>
    <xf numFmtId="1" fontId="8" fillId="0" borderId="9" applyAlignment="1" pivotButton="0" quotePrefix="0" xfId="1">
      <alignment horizontal="center" vertical="top"/>
    </xf>
    <xf numFmtId="0" fontId="15" fillId="4" borderId="9" applyAlignment="1" pivotButton="0" quotePrefix="0" xfId="0">
      <alignment horizontal="center" vertical="center"/>
    </xf>
    <xf numFmtId="0" fontId="15" fillId="4" borderId="19" applyAlignment="1" pivotButton="0" quotePrefix="0" xfId="0">
      <alignment vertical="center"/>
    </xf>
    <xf numFmtId="0" fontId="15" fillId="4" borderId="9" applyAlignment="1" pivotButton="0" quotePrefix="0" xfId="0">
      <alignment vertical="center"/>
    </xf>
    <xf numFmtId="0" fontId="15" fillId="4" borderId="9" applyAlignment="1" pivotButton="0" quotePrefix="0" xfId="0">
      <alignment vertical="center" wrapText="1"/>
    </xf>
    <xf numFmtId="0" fontId="15" fillId="4" borderId="11" applyAlignment="1" pivotButton="0" quotePrefix="0" xfId="0">
      <alignment vertical="center"/>
    </xf>
    <xf numFmtId="0" fontId="11" fillId="5" borderId="15" applyAlignment="1" pivotButton="0" quotePrefix="0" xfId="0">
      <alignment vertical="top" wrapText="1"/>
    </xf>
    <xf numFmtId="0" fontId="2" fillId="5" borderId="11" applyAlignment="1" pivotButton="0" quotePrefix="0" xfId="0">
      <alignment horizontal="left" vertical="top" wrapText="1"/>
    </xf>
    <xf numFmtId="0" fontId="11" fillId="5" borderId="11" applyAlignment="1" pivotButton="0" quotePrefix="0" xfId="0">
      <alignment vertical="top"/>
    </xf>
    <xf numFmtId="0" fontId="11" fillId="5" borderId="19" applyAlignment="1" pivotButton="0" quotePrefix="0" xfId="0">
      <alignment vertical="top"/>
    </xf>
    <xf numFmtId="0" fontId="18" fillId="0" borderId="0" pivotButton="0" quotePrefix="0" xfId="0"/>
    <xf numFmtId="0" fontId="9" fillId="0" borderId="0" applyAlignment="1" pivotButton="0" quotePrefix="0" xfId="0">
      <alignment vertical="top"/>
    </xf>
    <xf numFmtId="0" fontId="10" fillId="0" borderId="0" applyAlignment="1" pivotButton="0" quotePrefix="0" xfId="0">
      <alignment vertical="top" wrapText="1"/>
    </xf>
    <xf numFmtId="165" fontId="10" fillId="0" borderId="0" applyAlignment="1" pivotButton="0" quotePrefix="0" xfId="0">
      <alignment horizontal="left" vertical="top"/>
    </xf>
    <xf numFmtId="0" fontId="16" fillId="0" borderId="0" pivotButton="0" quotePrefix="0" xfId="0"/>
    <xf numFmtId="0" fontId="19" fillId="4" borderId="21" applyAlignment="1" pivotButton="0" quotePrefix="0" xfId="0">
      <alignment horizontal="center" vertical="center" wrapText="1"/>
    </xf>
    <xf numFmtId="0" fontId="9" fillId="0" borderId="21" applyAlignment="1" pivotButton="0" quotePrefix="0" xfId="0">
      <alignment horizontal="left" vertical="center" wrapText="1"/>
    </xf>
    <xf numFmtId="0" fontId="10" fillId="0" borderId="21" applyAlignment="1" pivotButton="0" quotePrefix="0" xfId="0">
      <alignment horizontal="left" vertical="center" wrapText="1"/>
    </xf>
    <xf numFmtId="1" fontId="10" fillId="0" borderId="21" applyAlignment="1" pivotButton="0" quotePrefix="0" xfId="0">
      <alignment horizontal="center" vertical="center" wrapText="1"/>
    </xf>
    <xf numFmtId="2" fontId="10" fillId="0" borderId="21" applyAlignment="1" pivotButton="0" quotePrefix="0" xfId="0">
      <alignment horizontal="center" vertical="center" wrapText="1"/>
    </xf>
    <xf numFmtId="166" fontId="10" fillId="0" borderId="21" applyAlignment="1" pivotButton="0" quotePrefix="0" xfId="0">
      <alignment horizontal="center" vertical="center" wrapText="1"/>
    </xf>
    <xf numFmtId="0" fontId="9" fillId="6" borderId="21" pivotButton="0" quotePrefix="0" xfId="0"/>
    <xf numFmtId="0" fontId="10" fillId="6" borderId="21" pivotButton="0" quotePrefix="0" xfId="0"/>
    <xf numFmtId="1" fontId="9" fillId="6" borderId="21" applyAlignment="1" pivotButton="0" quotePrefix="0" xfId="0">
      <alignment horizontal="center" vertical="center"/>
    </xf>
    <xf numFmtId="2" fontId="9" fillId="6" borderId="21" applyAlignment="1" pivotButton="0" quotePrefix="0" xfId="0">
      <alignment horizontal="center" vertical="center"/>
    </xf>
    <xf numFmtId="166" fontId="9" fillId="6" borderId="21" applyAlignment="1" pivotButton="0" quotePrefix="0" xfId="0">
      <alignment horizontal="center" vertical="center"/>
    </xf>
    <xf numFmtId="0" fontId="0" fillId="0" borderId="24" pivotButton="0" quotePrefix="0" xfId="0"/>
    <xf numFmtId="0" fontId="0" fillId="0" borderId="25" pivotButton="0" quotePrefix="0" xfId="0"/>
    <xf numFmtId="0" fontId="9" fillId="0" borderId="21" applyAlignment="1" pivotButton="0" quotePrefix="0" xfId="0">
      <alignment horizontal="left" vertical="top" wrapText="1"/>
    </xf>
    <xf numFmtId="0" fontId="10" fillId="0" borderId="21" applyAlignment="1" pivotButton="0" quotePrefix="0" xfId="0">
      <alignment horizontal="left" vertical="top" wrapText="1"/>
    </xf>
    <xf numFmtId="0" fontId="20" fillId="0" borderId="21" applyAlignment="1" pivotButton="0" quotePrefix="0" xfId="0">
      <alignment horizontal="center" vertical="top" wrapText="1"/>
    </xf>
    <xf numFmtId="0" fontId="10" fillId="0" borderId="21" applyAlignment="1" pivotButton="0" quotePrefix="0" xfId="0">
      <alignment horizontal="center" vertical="top" wrapText="1"/>
    </xf>
    <xf numFmtId="0" fontId="21" fillId="0" borderId="21" applyAlignment="1" pivotButton="0" quotePrefix="0" xfId="0">
      <alignment horizontal="left" vertical="top" wrapText="1"/>
    </xf>
    <xf numFmtId="0" fontId="6" fillId="0" borderId="9" applyAlignment="1" pivotButton="0" quotePrefix="0" xfId="0">
      <alignment vertical="center" wrapText="1"/>
    </xf>
    <xf numFmtId="165" fontId="6" fillId="0" borderId="9" applyAlignment="1" pivotButton="0" quotePrefix="0" xfId="0">
      <alignment vertical="center" wrapText="1"/>
    </xf>
    <xf numFmtId="0" fontId="9" fillId="0" borderId="9" applyAlignment="1" pivotButton="0" quotePrefix="0" xfId="0">
      <alignment vertical="top" wrapText="1"/>
    </xf>
    <xf numFmtId="0" fontId="10" fillId="0" borderId="14" applyAlignment="1" pivotButton="0" quotePrefix="0" xfId="0">
      <alignment vertical="top" wrapText="1"/>
    </xf>
    <xf numFmtId="0" fontId="10" fillId="0" borderId="9" applyAlignment="1" pivotButton="0" quotePrefix="0" xfId="0">
      <alignment vertical="top" wrapText="1"/>
    </xf>
    <xf numFmtId="0" fontId="10" fillId="0" borderId="17" applyAlignment="1" pivotButton="0" quotePrefix="0" xfId="0">
      <alignment vertical="top" wrapText="1"/>
    </xf>
    <xf numFmtId="2" fontId="10" fillId="0" borderId="9" applyAlignment="1" pivotButton="0" quotePrefix="0" xfId="0">
      <alignment vertical="top" wrapText="1"/>
    </xf>
    <xf numFmtId="0" fontId="10" fillId="0" borderId="11" applyAlignment="1" pivotButton="0" quotePrefix="0" xfId="0">
      <alignment vertical="top" wrapText="1"/>
    </xf>
    <xf numFmtId="0" fontId="9" fillId="0" borderId="16" applyAlignment="1" pivotButton="0" quotePrefix="0" xfId="0">
      <alignment vertical="top" wrapText="1"/>
    </xf>
    <xf numFmtId="0" fontId="10" fillId="0" borderId="13" applyAlignment="1" pivotButton="0" quotePrefix="0" xfId="0">
      <alignment vertical="top" wrapText="1"/>
    </xf>
    <xf numFmtId="0" fontId="16" fillId="0" borderId="0" applyAlignment="1" pivotButton="0" quotePrefix="0" xfId="0">
      <alignment horizontal="left" vertical="center" wrapText="1"/>
    </xf>
    <xf numFmtId="0" fontId="10" fillId="0" borderId="21" pivotButton="0" quotePrefix="0" xfId="0"/>
    <xf numFmtId="1" fontId="9" fillId="0" borderId="21" applyAlignment="1" pivotButton="0" quotePrefix="0" xfId="0">
      <alignment horizontal="center"/>
    </xf>
    <xf numFmtId="2" fontId="9" fillId="0" borderId="21" applyAlignment="1" pivotButton="0" quotePrefix="0" xfId="0">
      <alignment horizontal="center"/>
    </xf>
    <xf numFmtId="166" fontId="9" fillId="0" borderId="21" applyAlignment="1" pivotButton="0" quotePrefix="0" xfId="0">
      <alignment horizontal="center"/>
    </xf>
    <xf numFmtId="0" fontId="17" fillId="0" borderId="0" pivotButton="0" quotePrefix="0" xfId="0"/>
  </cellXfs>
  <cellStyles count="2">
    <cellStyle name="Normal" xfId="0" builtinId="0"/>
    <cellStyle name="Comma" xfId="1" builtinId="3"/>
  </cellStyles>
  <dxfs count="8">
    <dxf>
      <font>
        <b val="1"/>
        <color rgb="FF00B0F0"/>
      </font>
    </dxf>
    <dxf>
      <font>
        <b val="1"/>
        <color rgb="FFFF0000"/>
      </font>
    </dxf>
    <dxf>
      <font>
        <color auto="1"/>
      </font>
      <fill>
        <patternFill>
          <bgColor auto="1"/>
        </patternFill>
      </fill>
    </dxf>
    <dxf>
      <font>
        <b val="1"/>
        <color rgb="FFFF0000"/>
      </font>
      <fill>
        <patternFill>
          <bgColor auto="1"/>
        </patternFill>
      </fill>
    </dxf>
    <dxf>
      <font>
        <b val="1"/>
        <color rgb="FF00B050"/>
      </font>
      <fill>
        <patternFill>
          <bgColor auto="1"/>
        </patternFill>
      </fill>
    </dxf>
    <dxf>
      <font>
        <b val="1"/>
        <color theme="9" tint="-0.249946592608417"/>
      </font>
      <fill>
        <patternFill>
          <bgColor auto="1"/>
        </patternFill>
      </fill>
    </dxf>
    <dxf>
      <font>
        <name val="Arial"/>
        <b val="1"/>
        <color rgb="FF00B050"/>
      </font>
    </dxf>
    <dxf>
      <font>
        <name val="Arial"/>
        <b val="1"/>
        <color rgb="FFFF0000"/>
      </font>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drawing1.xml><?xml version="1.0" encoding="utf-8"?>
<wsDr xmlns="http://schemas.openxmlformats.org/drawingml/2006/spreadsheetDrawing">
  <twoCellAnchor editAs="oneCell">
    <from>
      <col>10</col>
      <colOff>225083</colOff>
      <row>1</row>
      <rowOff>42205</rowOff>
    </from>
    <to>
      <col>11</col>
      <colOff>180244</colOff>
      <row>3</row>
      <rowOff>105509</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14637434" y="211017"/>
          <a:ext cx="1713622" cy="548640"/>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10</col>
      <colOff>225083</colOff>
      <row>1</row>
      <rowOff>42205</rowOff>
    </from>
    <to>
      <col>11</col>
      <colOff>180244</colOff>
      <row>3</row>
      <rowOff>105509</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14637434" y="211017"/>
          <a:ext cx="1713622" cy="548640"/>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10</col>
      <colOff>225083</colOff>
      <row>1</row>
      <rowOff>42205</rowOff>
    </from>
    <to>
      <col>11</col>
      <colOff>180244</colOff>
      <row>3</row>
      <rowOff>105509</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14637434" y="211017"/>
          <a:ext cx="1713622" cy="548640"/>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10</col>
      <colOff>225083</colOff>
      <row>1</row>
      <rowOff>42205</rowOff>
    </from>
    <to>
      <col>11</col>
      <colOff>180244</colOff>
      <row>3</row>
      <rowOff>105509</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14637434" y="211017"/>
          <a:ext cx="1713622" cy="548640"/>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10</col>
      <colOff>225083</colOff>
      <row>1</row>
      <rowOff>42205</rowOff>
    </from>
    <to>
      <col>11</col>
      <colOff>180244</colOff>
      <row>3</row>
      <rowOff>105509</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14637434" y="211017"/>
          <a:ext cx="1713622" cy="548640"/>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10</col>
      <colOff>225083</colOff>
      <row>1</row>
      <rowOff>42205</rowOff>
    </from>
    <to>
      <col>11</col>
      <colOff>180244</colOff>
      <row>3</row>
      <rowOff>105509</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14637434" y="211017"/>
          <a:ext cx="1713622" cy="548640"/>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Planit Theme1">
  <a:themeElements>
    <a:clrScheme name="Planit NRI">
      <a:dk1>
        <a:sysClr val="windowText" lastClr="000000"/>
      </a:dk1>
      <a:lt1>
        <a:srgbClr val="FFFFFF"/>
      </a:lt1>
      <a:dk2>
        <a:srgbClr val="444444"/>
      </a:dk2>
      <a:lt2>
        <a:srgbClr val="ECECEC"/>
      </a:lt2>
      <a:accent1>
        <a:srgbClr val="1414FF"/>
      </a:accent1>
      <a:accent2>
        <a:srgbClr val="FF6432"/>
      </a:accent2>
      <a:accent3>
        <a:srgbClr val="C55065"/>
      </a:accent3>
      <a:accent4>
        <a:srgbClr val="8A3C97"/>
      </a:accent4>
      <a:accent5>
        <a:srgbClr val="A5A5A5"/>
      </a:accent5>
      <a:accent6>
        <a:srgbClr val="00C8FF"/>
      </a:accent6>
      <a:hlink>
        <a:srgbClr val="000000"/>
      </a:hlink>
      <a:folHlink>
        <a:srgbClr val="000000"/>
      </a:folHlink>
    </a:clrScheme>
    <a:fontScheme name="Planit NRI">
      <a:majorFont>
        <a:latin typeface="Mangal Pro"/>
        <a:ea typeface=""/>
        <a:cs typeface=""/>
      </a:majorFont>
      <a:minorFont>
        <a:latin typeface="Mangal Pro"/>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Planit NRI" id="{D462E2DB-9BA1-41AA-A8CB-4C03DE604A6B}" vid="{CF2E8F42-8C0D-4770-9801-8A8039DA04A5}"/>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sheet1.xml><?xml version="1.0" encoding="utf-8"?>
<worksheet xmlns="http://schemas.openxmlformats.org/spreadsheetml/2006/main">
  <sheetPr>
    <outlinePr summaryBelow="1" summaryRight="1"/>
    <pageSetUpPr/>
  </sheetPr>
  <dimension ref="A1:L34"/>
  <sheetViews>
    <sheetView showGridLines="0" workbookViewId="0">
      <selection activeCell="A1" sqref="A1"/>
    </sheetView>
  </sheetViews>
  <sheetFormatPr baseColWidth="8" defaultRowHeight="15"/>
  <cols>
    <col width="2.9" customWidth="1" min="1" max="1"/>
    <col width="24" customWidth="1" min="2" max="2"/>
    <col width="44" customWidth="1" min="3" max="3"/>
    <col width="11" customWidth="1" min="4" max="4"/>
    <col width="9" customWidth="1" min="5" max="5"/>
    <col width="9" customWidth="1" min="6" max="6"/>
    <col width="9" customWidth="1" min="7" max="7"/>
    <col width="11" customWidth="1" min="8" max="8"/>
    <col width="13" customWidth="1" min="9" max="9"/>
    <col width="14" customWidth="1" min="10" max="10"/>
    <col width="11" customWidth="1" min="11" max="11"/>
    <col width="11" customWidth="1" min="12" max="12"/>
    <col width="2" customWidth="1" min="13" max="13"/>
  </cols>
  <sheetData>
    <row r="1"/>
    <row r="2"/>
    <row r="3">
      <c r="B3" s="75" t="inlineStr">
        <is>
          <t>Compatibility Testing - Test Metrics Summary</t>
        </is>
      </c>
    </row>
    <row r="4"/>
    <row r="5">
      <c r="B5" s="76" t="inlineStr">
        <is>
          <t>Project:</t>
        </is>
      </c>
      <c r="C5" s="77" t="inlineStr">
        <is>
          <t>Learning Journey Assistant (Capstone project, Team Smart Stack)</t>
        </is>
      </c>
    </row>
    <row r="6">
      <c r="B6" s="76" t="inlineStr">
        <is>
          <t>Website tested:</t>
        </is>
      </c>
      <c r="C6" s="77" t="inlineStr">
        <is>
          <t>https://learning-journey-app.onrender.com</t>
        </is>
      </c>
    </row>
    <row r="7">
      <c r="B7" s="76" t="inlineStr">
        <is>
          <t>Pages tested:</t>
        </is>
      </c>
      <c r="C7" s="77" t="inlineStr">
        <is>
          <t>Login, Dashboard, Outcome detail, Quiz, Learning plan, Trends and Profile</t>
        </is>
      </c>
    </row>
    <row r="8">
      <c r="B8" s="76" t="inlineStr">
        <is>
          <t>Tester:</t>
        </is>
      </c>
      <c r="C8" s="77" t="inlineStr">
        <is>
          <t>Ritik Rayamajhi</t>
        </is>
      </c>
    </row>
    <row r="9">
      <c r="B9" s="76" t="inlineStr">
        <is>
          <t>Date tested:</t>
        </is>
      </c>
      <c r="C9" s="78" t="n">
        <v>46302</v>
      </c>
    </row>
    <row r="10" ht="42" customHeight="1">
      <c r="B10" s="76" t="inlineStr">
        <is>
          <t>How I tested:</t>
        </is>
      </c>
      <c r="C10" s="77" t="inlineStr">
        <is>
          <t>I used the 47-item compatibility checklist on 5 different systems (3 desktop browsers and 2 phones), covering all 7 pages of the app. I wrote a Playwright script that opens the app in each browser, does the steps for each checklist item and times how long each test takes. Each system has its own sheet with the full results. My first run found 2 defects; after they were fixed I ran all the tests again. The results and times in this workbook are from that final run.</t>
        </is>
      </c>
    </row>
    <row r="11"/>
    <row r="12">
      <c r="B12" s="79" t="inlineStr">
        <is>
          <t>Metrics per system</t>
        </is>
      </c>
    </row>
    <row r="13" ht="40" customHeight="1">
      <c r="B13" s="80" t="inlineStr">
        <is>
          <t>System</t>
        </is>
      </c>
      <c r="C13" s="80" t="inlineStr">
        <is>
          <t>Environment</t>
        </is>
      </c>
      <c r="D13" s="80" t="inlineStr">
        <is>
          <t>Tests executed</t>
        </is>
      </c>
      <c r="E13" s="80" t="inlineStr">
        <is>
          <t>Passed</t>
        </is>
      </c>
      <c r="F13" s="80" t="inlineStr">
        <is>
          <t>Failed</t>
        </is>
      </c>
      <c r="G13" s="80" t="inlineStr">
        <is>
          <t>Not run</t>
        </is>
      </c>
      <c r="H13" s="80" t="inlineStr">
        <is>
          <t>Not applicable</t>
        </is>
      </c>
      <c r="I13" s="80" t="inlineStr">
        <is>
          <t>Total time (sec)</t>
        </is>
      </c>
      <c r="J13" s="80" t="inlineStr">
        <is>
          <t>Average time per test (sec)</t>
        </is>
      </c>
      <c r="K13" s="80" t="inlineStr">
        <is>
          <t>Pass rate</t>
        </is>
      </c>
      <c r="L13" s="80" t="inlineStr">
        <is>
          <t>Failure rate</t>
        </is>
      </c>
    </row>
    <row r="14" ht="30" customHeight="1">
      <c r="B14" s="81" t="inlineStr">
        <is>
          <t>Chrome (macOS)</t>
        </is>
      </c>
      <c r="C14" s="82" t="inlineStr">
        <is>
          <t>MacBook, macOS 26.5.2, Google Chrome 154.0.8037.95, screen 1440x900</t>
        </is>
      </c>
      <c r="D14" s="83">
        <f>'Chrome (macOS)'!F66</f>
        <v>24.0</v>
      </c>
      <c r="E14" s="83">
        <f>'Chrome (macOS)'!F67</f>
        <v>24.0</v>
      </c>
      <c r="F14" s="83">
        <f>'Chrome (macOS)'!F68</f>
        <v>0.0</v>
      </c>
      <c r="G14" s="83">
        <f>'Chrome (macOS)'!F69</f>
        <v>1.0</v>
      </c>
      <c r="H14" s="83">
        <f>'Chrome (macOS)'!F70</f>
        <v>22.0</v>
      </c>
      <c r="I14" s="84">
        <f>'Chrome (macOS)'!F71</f>
        <v>171.83999999999997</v>
      </c>
      <c r="J14" s="84">
        <f>'Chrome (macOS)'!F72</f>
        <v>7.159999999999999</v>
      </c>
      <c r="K14" s="85">
        <f>'Chrome (macOS)'!F73</f>
        <v>1.0</v>
      </c>
      <c r="L14" s="85">
        <f>'Chrome (macOS)'!F74</f>
        <v>0.0</v>
      </c>
    </row>
    <row r="15" ht="30" customHeight="1">
      <c r="B15" s="81" t="inlineStr">
        <is>
          <t>Firefox (macOS)</t>
        </is>
      </c>
      <c r="C15" s="82" t="inlineStr">
        <is>
          <t>MacBook, macOS 26.5.2, Mozilla Firefox 155.0 (Playwright build), screen 1440x900</t>
        </is>
      </c>
      <c r="D15" s="83">
        <f>'Firefox (macOS)'!F66</f>
        <v>24.0</v>
      </c>
      <c r="E15" s="83">
        <f>'Firefox (macOS)'!F67</f>
        <v>24.0</v>
      </c>
      <c r="F15" s="83">
        <f>'Firefox (macOS)'!F68</f>
        <v>0.0</v>
      </c>
      <c r="G15" s="83">
        <f>'Firefox (macOS)'!F69</f>
        <v>1.0</v>
      </c>
      <c r="H15" s="83">
        <f>'Firefox (macOS)'!F70</f>
        <v>22.0</v>
      </c>
      <c r="I15" s="84">
        <f>'Firefox (macOS)'!F71</f>
        <v>171.17000000000002</v>
      </c>
      <c r="J15" s="84">
        <f>'Firefox (macOS)'!F72</f>
        <v>7.132083333333334</v>
      </c>
      <c r="K15" s="85">
        <f>'Firefox (macOS)'!F73</f>
        <v>1.0</v>
      </c>
      <c r="L15" s="85">
        <f>'Firefox (macOS)'!F74</f>
        <v>0.0</v>
      </c>
    </row>
    <row r="16" ht="30" customHeight="1">
      <c r="B16" s="81" t="inlineStr">
        <is>
          <t>Safari (macOS)</t>
        </is>
      </c>
      <c r="C16" s="82" t="inlineStr">
        <is>
          <t>MacBook, macOS 26.5.2, Safari engine WebKit 26.6 (Playwright build), screen 1440x900</t>
        </is>
      </c>
      <c r="D16" s="83">
        <f>'Safari (macOS)'!F66</f>
        <v>24.0</v>
      </c>
      <c r="E16" s="83">
        <f>'Safari (macOS)'!F67</f>
        <v>24.0</v>
      </c>
      <c r="F16" s="83">
        <f>'Safari (macOS)'!F68</f>
        <v>0.0</v>
      </c>
      <c r="G16" s="83">
        <f>'Safari (macOS)'!F69</f>
        <v>1.0</v>
      </c>
      <c r="H16" s="83">
        <f>'Safari (macOS)'!F70</f>
        <v>22.0</v>
      </c>
      <c r="I16" s="84">
        <f>'Safari (macOS)'!F71</f>
        <v>159.18</v>
      </c>
      <c r="J16" s="84">
        <f>'Safari (macOS)'!F72</f>
        <v>6.6325</v>
      </c>
      <c r="K16" s="85">
        <f>'Safari (macOS)'!F73</f>
        <v>1.0</v>
      </c>
      <c r="L16" s="85">
        <f>'Safari (macOS)'!F74</f>
        <v>0.0</v>
      </c>
    </row>
    <row r="17" ht="30" customHeight="1">
      <c r="B17" s="81" t="inlineStr">
        <is>
          <t>iPhone 13 (Safari)</t>
        </is>
      </c>
      <c r="C17" s="82" t="inlineStr">
        <is>
          <t>Apple iPhone 13 emulator (iOS Safari, WebKit 26.6) on macOS, screen 390x664, touch on</t>
        </is>
      </c>
      <c r="D17" s="83">
        <f>'iPhone 13 (Safari)'!F66</f>
        <v>23.0</v>
      </c>
      <c r="E17" s="83">
        <f>'iPhone 13 (Safari)'!F67</f>
        <v>23.0</v>
      </c>
      <c r="F17" s="83">
        <f>'iPhone 13 (Safari)'!F68</f>
        <v>0.0</v>
      </c>
      <c r="G17" s="83">
        <f>'iPhone 13 (Safari)'!F69</f>
        <v>1.0</v>
      </c>
      <c r="H17" s="83">
        <f>'iPhone 13 (Safari)'!F70</f>
        <v>23.0</v>
      </c>
      <c r="I17" s="84">
        <f>'iPhone 13 (Safari)'!F71</f>
        <v>146.6</v>
      </c>
      <c r="J17" s="84">
        <f>'iPhone 13 (Safari)'!F72</f>
        <v>6.373913043478261</v>
      </c>
      <c r="K17" s="85">
        <f>'iPhone 13 (Safari)'!F73</f>
        <v>1.0</v>
      </c>
      <c r="L17" s="85">
        <f>'iPhone 13 (Safari)'!F74</f>
        <v>0.0</v>
      </c>
    </row>
    <row r="18" ht="30" customHeight="1">
      <c r="B18" s="81" t="inlineStr">
        <is>
          <t>Pixel 7 (Chrome)</t>
        </is>
      </c>
      <c r="C18" s="82" t="inlineStr">
        <is>
          <t>Google Pixel 7 emulator (Android, Chrome 154.0.8037.95) on macOS, screen 412x839, touch on</t>
        </is>
      </c>
      <c r="D18" s="83">
        <f>'Pixel 7 (Chrome)'!F66</f>
        <v>23.0</v>
      </c>
      <c r="E18" s="83">
        <f>'Pixel 7 (Chrome)'!F67</f>
        <v>23.0</v>
      </c>
      <c r="F18" s="83">
        <f>'Pixel 7 (Chrome)'!F68</f>
        <v>0.0</v>
      </c>
      <c r="G18" s="83">
        <f>'Pixel 7 (Chrome)'!F69</f>
        <v>1.0</v>
      </c>
      <c r="H18" s="83">
        <f>'Pixel 7 (Chrome)'!F70</f>
        <v>23.0</v>
      </c>
      <c r="I18" s="84">
        <f>'Pixel 7 (Chrome)'!F71</f>
        <v>155.16</v>
      </c>
      <c r="J18" s="84">
        <f>'Pixel 7 (Chrome)'!F72</f>
        <v>6.746086956521739</v>
      </c>
      <c r="K18" s="85">
        <f>'Pixel 7 (Chrome)'!F73</f>
        <v>1.0</v>
      </c>
      <c r="L18" s="85">
        <f>'Pixel 7 (Chrome)'!F74</f>
        <v>0.0</v>
      </c>
    </row>
    <row r="19">
      <c r="B19" s="86" t="inlineStr">
        <is>
          <t>All systems</t>
        </is>
      </c>
      <c r="C19" s="87" t="inlineStr">
        <is>
          <t>Totals across the 5 systems</t>
        </is>
      </c>
      <c r="D19" s="88">
        <f>SUM(D14:D18)</f>
        <v>118.0</v>
      </c>
      <c r="E19" s="88">
        <f>SUM(E14:E18)</f>
        <v>118.0</v>
      </c>
      <c r="F19" s="88">
        <f>SUM(F14:F18)</f>
        <v>0.0</v>
      </c>
      <c r="G19" s="88">
        <f>SUM(G14:G18)</f>
        <v>5.0</v>
      </c>
      <c r="H19" s="88">
        <f>SUM(H14:H18)</f>
        <v>112.0</v>
      </c>
      <c r="I19" s="89">
        <f>SUM(I14:I18)</f>
        <v>803.9499999999999</v>
      </c>
      <c r="J19" s="89">
        <f>IFERROR(I19/D19,0)</f>
        <v>6.813135593220339</v>
      </c>
      <c r="K19" s="90">
        <f>IFERROR(E19/D19,0)</f>
        <v>1.0</v>
      </c>
      <c r="L19" s="90">
        <f>IFERROR(F19/D19,0)</f>
        <v>0.0</v>
      </c>
    </row>
    <row r="20"/>
    <row r="21">
      <c r="B21" s="79" t="inlineStr">
        <is>
          <t>What the numbers mean</t>
        </is>
      </c>
    </row>
    <row r="22" ht="28" customHeight="1">
      <c r="B22" s="76" t="inlineStr">
        <is>
          <t>Tests executed</t>
        </is>
      </c>
      <c r="C22" s="77" t="inlineStr">
        <is>
          <t>Tests that I actually ran and that got a Pass or Fail. "Not applicable" means the app doesn't have that feature (e.g. videos, file upload). "Not run" means I couldn't test it on this system.</t>
        </is>
      </c>
    </row>
    <row r="23" ht="28" customHeight="1">
      <c r="B23" s="76" t="inlineStr">
        <is>
          <t>Total time</t>
        </is>
      </c>
      <c r="C23" s="77" t="inlineStr">
        <is>
          <t>Adds up the time of every test I ran on that system (the "Time Taken (sec)" column on each sheet).</t>
        </is>
      </c>
    </row>
    <row r="24" ht="28" customHeight="1">
      <c r="B24" s="76" t="inlineStr">
        <is>
          <t>Average time per test</t>
        </is>
      </c>
      <c r="C24" s="77" t="inlineStr">
        <is>
          <t>Total time ÷ Tests executed.</t>
        </is>
      </c>
    </row>
    <row r="25" ht="28" customHeight="1">
      <c r="B25" s="76" t="inlineStr">
        <is>
          <t>Pass rate</t>
        </is>
      </c>
      <c r="C25" s="77" t="inlineStr">
        <is>
          <t>Passed ÷ Tests executed.</t>
        </is>
      </c>
    </row>
    <row r="26" ht="28" customHeight="1">
      <c r="B26" s="76" t="inlineStr">
        <is>
          <t>Failure rate</t>
        </is>
      </c>
      <c r="C26" s="77" t="inlineStr">
        <is>
          <t>Failed ÷ Tests executed. Pass rate + Failure rate = 100%.</t>
        </is>
      </c>
    </row>
    <row r="27" ht="28" customHeight="1">
      <c r="B27" s="76" t="inlineStr">
        <is>
          <t>First test run</t>
        </is>
      </c>
      <c r="C27" s="77" t="inlineStr">
        <is>
          <t>Before the fixes, my first run had 6 failed tests out of 118 (overall pass rate 94.9%) caused by the 2 defects below. After the fixes every test passed.</t>
        </is>
      </c>
    </row>
    <row r="28" ht="28" customHeight="1">
      <c r="B28" s="76" t="inlineStr">
        <is>
          <t>Note on times</t>
        </is>
      </c>
      <c r="C28" s="77" t="inlineStr">
        <is>
          <t>The times come from the automated script, so they are much faster than doing it by hand. Each time includes opening the page and logging in for that test.</t>
        </is>
      </c>
    </row>
    <row r="29"/>
    <row r="30"/>
    <row r="31">
      <c r="B31" s="79" t="inlineStr">
        <is>
          <t>Defects found (first run) and their status</t>
        </is>
      </c>
    </row>
    <row r="32">
      <c r="B32" s="80" t="inlineStr">
        <is>
          <t>Defect ID</t>
        </is>
      </c>
      <c r="C32" s="80" t="inlineStr">
        <is>
          <t>Details</t>
        </is>
      </c>
      <c r="D32" s="91" t="n"/>
      <c r="E32" s="91" t="n"/>
      <c r="F32" s="91" t="n"/>
      <c r="G32" s="92" t="n"/>
      <c r="H32" s="80" t="inlineStr">
        <is>
          <t>Severity</t>
        </is>
      </c>
      <c r="I32" s="80" t="inlineStr">
        <is>
          <t>Checklist ID</t>
        </is>
      </c>
      <c r="J32" s="80" t="inlineStr">
        <is>
          <t>Systems affected</t>
        </is>
      </c>
      <c r="K32" s="80" t="inlineStr">
        <is>
          <t>Status</t>
        </is>
      </c>
      <c r="L32" s="92" t="n"/>
    </row>
    <row r="33" ht="62" customHeight="1">
      <c r="B33" s="93" t="inlineStr">
        <is>
          <t>DEF-01</t>
        </is>
      </c>
      <c r="C33" s="94" t="inlineStr">
        <is>
          <t>The mastery trend chart (Trends page) has no text alternative: the chart graphic has no title/description, so screen readers can't tell what it shows. Fix: give the chart a title and a text description of its values.</t>
        </is>
      </c>
      <c r="D33" s="91" t="n"/>
      <c r="E33" s="91" t="n"/>
      <c r="F33" s="91" t="n"/>
      <c r="G33" s="92" t="n"/>
      <c r="H33" s="95" t="inlineStr">
        <is>
          <t>Minor</t>
        </is>
      </c>
      <c r="I33" s="96" t="n">
        <v>13</v>
      </c>
      <c r="J33" s="94" t="inlineStr">
        <is>
          <t>All 5 systems</t>
        </is>
      </c>
      <c r="K33" s="97" t="inlineStr">
        <is>
          <t>Fixed: the chart now has a title and a text description of its values. Retested - Pass</t>
        </is>
      </c>
      <c r="L33" s="92" t="n"/>
    </row>
    <row r="34" ht="62" customHeight="1">
      <c r="B34" s="93" t="inlineStr">
        <is>
          <t>DEF-02</t>
        </is>
      </c>
      <c r="C34" s="94" t="inlineStr">
        <is>
          <t>At 200% zoom on a phone (about 195px wide) the outcome badge in the page header and the recent-feedback cards don't fit and cause sideways scrolling. Fix: let the badge wrap below the title and let long text wrap.</t>
        </is>
      </c>
      <c r="D34" s="91" t="n"/>
      <c r="E34" s="91" t="n"/>
      <c r="F34" s="91" t="n"/>
      <c r="G34" s="92" t="n"/>
      <c r="H34" s="95" t="inlineStr">
        <is>
          <t>Minor</t>
        </is>
      </c>
      <c r="I34" s="96" t="n">
        <v>9</v>
      </c>
      <c r="J34" s="94" t="inlineStr">
        <is>
          <t>iPhone 13 (Safari)</t>
        </is>
      </c>
      <c r="K34" s="97" t="inlineStr">
        <is>
          <t>Fixed: the badge, top bar and long text now wrap on very narrow screens. Retested - Pass</t>
        </is>
      </c>
      <c r="L34" s="92" t="n"/>
    </row>
  </sheetData>
  <mergeCells count="19">
    <mergeCell ref="C27:L27"/>
    <mergeCell ref="C34:G34"/>
    <mergeCell ref="C23:L23"/>
    <mergeCell ref="K34:L34"/>
    <mergeCell ref="C8:L8"/>
    <mergeCell ref="C33:G33"/>
    <mergeCell ref="K33:L33"/>
    <mergeCell ref="C7:L7"/>
    <mergeCell ref="C28:L28"/>
    <mergeCell ref="K32:L32"/>
    <mergeCell ref="C6:L6"/>
    <mergeCell ref="C24:L24"/>
    <mergeCell ref="C5:L5"/>
    <mergeCell ref="C26:L26"/>
    <mergeCell ref="C10:L10"/>
    <mergeCell ref="C25:L25"/>
    <mergeCell ref="C22:L22"/>
    <mergeCell ref="C32:G32"/>
    <mergeCell ref="C9:L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codeName="Sheet1">
    <tabColor theme="7" tint="0.3999755851924192"/>
    <outlinePr summaryBelow="1" summaryRight="1"/>
    <pageSetUpPr/>
  </sheetPr>
  <dimension ref="A2:M75"/>
  <sheetViews>
    <sheetView showGridLines="0" workbookViewId="0">
      <pane ySplit="12" topLeftCell="A13" activePane="bottomLeft" state="frozen"/>
      <selection pane="bottomLeft" activeCell="A1" sqref="A1"/>
    </sheetView>
  </sheetViews>
  <sheetFormatPr baseColWidth="8" defaultColWidth="9.09765625" defaultRowHeight="12.75" customHeight="1"/>
  <cols>
    <col width="2.8984375" customWidth="1" style="6" min="1" max="1"/>
    <col width="4.296875" customWidth="1" style="6" min="2" max="2"/>
    <col width="7.59765625" customWidth="1" style="7" min="3" max="3"/>
    <col width="21.8984375" customWidth="1" style="8" min="4" max="4"/>
    <col width="72" customWidth="1" style="9" min="5" max="5"/>
    <col width="14.59765625" bestFit="1" customWidth="1" style="6" min="6" max="6"/>
    <col width="24.59765625" customWidth="1" style="6" min="7" max="7"/>
    <col width="18.19921875" customWidth="1" style="6" min="8" max="8"/>
    <col width="19.3984375" bestFit="1" customWidth="1" style="6" min="9" max="9"/>
    <col width="19.3984375" customWidth="1" style="6" min="10" max="10"/>
    <col width="25" customWidth="1" style="6" min="11" max="11"/>
    <col width="16" customWidth="1" style="6" min="12" max="12"/>
    <col width="3.296875" customWidth="1" style="6" min="13" max="13"/>
    <col width="9.09765625" customWidth="1" style="3" min="14" max="16384"/>
  </cols>
  <sheetData>
    <row r="1" ht="13.3" customHeight="1" thickBot="1"/>
    <row r="2">
      <c r="B2" s="15" t="n"/>
      <c r="C2" s="16" t="n"/>
      <c r="D2" s="17" t="n"/>
      <c r="E2" s="18" t="n"/>
      <c r="F2" s="19" t="n"/>
      <c r="G2" s="19" t="n"/>
      <c r="H2" s="19" t="n"/>
      <c r="I2" s="19" t="n"/>
      <c r="J2" s="19" t="n"/>
      <c r="K2" s="19" t="n"/>
      <c r="L2" s="20" t="n"/>
    </row>
    <row r="3" ht="25.5" customHeight="1">
      <c r="B3" s="21" t="n"/>
      <c r="C3" s="22" t="inlineStr">
        <is>
          <t>Compatibility Testing Checklist</t>
        </is>
      </c>
      <c r="E3" s="23" t="n"/>
      <c r="F3" s="23" t="n"/>
      <c r="G3" s="23" t="n"/>
      <c r="H3" s="23" t="n"/>
      <c r="I3" s="23" t="n"/>
      <c r="J3" s="23" t="n"/>
      <c r="K3" s="23" t="n"/>
      <c r="L3" s="24" t="n"/>
    </row>
    <row r="4">
      <c r="B4" s="21" t="n"/>
      <c r="L4" s="24" t="n"/>
    </row>
    <row r="5">
      <c r="B5" s="21" t="n"/>
      <c r="C5" s="3" t="n"/>
      <c r="D5" s="55" t="inlineStr">
        <is>
          <t xml:space="preserve">Test object: </t>
        </is>
      </c>
      <c r="E5" s="98" t="inlineStr">
        <is>
          <t>Learning Journey Assistant (https://learning-journey-app.onrender.com)</t>
        </is>
      </c>
      <c r="F5" s="57" t="inlineStr">
        <is>
          <t xml:space="preserve">Name of the system being tested </t>
        </is>
      </c>
      <c r="L5" s="24" t="n"/>
    </row>
    <row r="6" ht="26" customHeight="1">
      <c r="B6" s="21" t="n"/>
      <c r="C6" s="3" t="n"/>
      <c r="D6" s="55" t="inlineStr">
        <is>
          <t>Test basis:</t>
        </is>
      </c>
      <c r="E6" s="98" t="inlineStr">
        <is>
          <t>Project proposal must-haves and user stories: a student signs in, sees their mastery dashboard (strengths, skill gaps, progress trends), opens a learning outcome, takes an adaptive AI quiz and generates a learning plan. Also past experience with similar web apps.</t>
        </is>
      </c>
      <c r="F6" s="57" t="inlineStr">
        <is>
          <t>What test design is based on - for example, requirements, epics, user stories, or past experience with similar systems</t>
        </is>
      </c>
      <c r="L6" s="24" t="n"/>
    </row>
    <row r="7">
      <c r="B7" s="21" t="n"/>
      <c r="C7" s="3" t="n"/>
      <c r="D7" s="55" t="inlineStr">
        <is>
          <t>Page name:</t>
        </is>
      </c>
      <c r="E7" s="98" t="inlineStr">
        <is>
          <t>Login, Dashboard, Outcome detail, Quiz, Learning plan, Trends and Profile</t>
        </is>
      </c>
      <c r="F7" s="57" t="inlineStr">
        <is>
          <t>Name of the page or tab being tested</t>
        </is>
      </c>
      <c r="L7" s="24" t="n"/>
    </row>
    <row r="8" ht="26" customHeight="1">
      <c r="B8" s="21" t="n"/>
      <c r="C8" s="3" t="n"/>
      <c r="D8" s="55" t="inlineStr">
        <is>
          <t>Environment details:</t>
        </is>
      </c>
      <c r="E8" s="98" t="inlineStr">
        <is>
          <t>MacBook, macOS 26.5.2, Google Chrome 154.0.8037.95, screen 1440x900. Tests run with a Playwright automation script.</t>
        </is>
      </c>
      <c r="F8" s="57" t="inlineStr">
        <is>
          <t>Describe the test environment - e.g. Apple iPhone X running iOS Y, Edge browser version aa.bb</t>
        </is>
      </c>
      <c r="L8" s="24" t="n"/>
    </row>
    <row r="9">
      <c r="B9" s="21" t="n"/>
      <c r="C9" s="3" t="n"/>
      <c r="D9" s="55" t="inlineStr">
        <is>
          <t>Tester name:</t>
        </is>
      </c>
      <c r="E9" s="98" t="inlineStr">
        <is>
          <t>Ritik Rayamajhi</t>
        </is>
      </c>
      <c r="F9" s="57" t="inlineStr">
        <is>
          <t>Name of the person performing the testing</t>
        </is>
      </c>
      <c r="L9" s="24" t="n"/>
    </row>
    <row r="10">
      <c r="B10" s="21" t="n"/>
      <c r="C10" s="3" t="n"/>
      <c r="D10" s="55" t="inlineStr">
        <is>
          <t>Date tested:</t>
        </is>
      </c>
      <c r="E10" s="99" t="n">
        <v>46302</v>
      </c>
      <c r="F10" s="57" t="inlineStr">
        <is>
          <t>Date tests were run on</t>
        </is>
      </c>
      <c r="L10" s="24" t="n"/>
    </row>
    <row r="11">
      <c r="B11" s="21" t="n"/>
      <c r="L11" s="24" t="n"/>
    </row>
    <row r="12" ht="25.5" customFormat="1" customHeight="1" s="4">
      <c r="A12" s="26" t="n"/>
      <c r="B12" s="21" t="n"/>
      <c r="C12" s="66" t="inlineStr">
        <is>
          <t>ID</t>
        </is>
      </c>
      <c r="D12" s="67" t="inlineStr">
        <is>
          <t>Perspective</t>
        </is>
      </c>
      <c r="E12" s="68" t="inlineStr">
        <is>
          <t>Checklist</t>
        </is>
      </c>
      <c r="F12" s="68" t="inlineStr">
        <is>
          <t>Result</t>
        </is>
      </c>
      <c r="G12" s="69" t="inlineStr">
        <is>
          <t>Comments</t>
        </is>
      </c>
      <c r="H12" s="69" t="inlineStr">
        <is>
          <t>Defect ID</t>
        </is>
      </c>
      <c r="I12" s="70" t="inlineStr">
        <is>
          <t>Defect Severity</t>
        </is>
      </c>
      <c r="J12" s="70" t="inlineStr">
        <is>
          <t>Defect Details</t>
        </is>
      </c>
      <c r="K12" s="69" t="inlineStr">
        <is>
          <t>Test Evidence</t>
        </is>
      </c>
      <c r="L12" s="69" t="inlineStr">
        <is>
          <t>Time Taken (sec)</t>
        </is>
      </c>
      <c r="M12" s="26" t="n"/>
    </row>
    <row r="13" ht="93" customHeight="1">
      <c r="B13" s="21" t="n"/>
      <c r="C13" s="65" t="n">
        <v>1</v>
      </c>
      <c r="D13" s="71" t="inlineStr">
        <is>
          <t>Page structure</t>
        </is>
      </c>
      <c r="E13" s="41" t="inlineStr">
        <is>
          <t>Has the correct page template, style sheet and/or structure been used, matching company and project requirements?</t>
        </is>
      </c>
      <c r="F13" s="100" t="inlineStr">
        <is>
          <t>Pass</t>
        </is>
      </c>
      <c r="G13" s="101" t="inlineStr">
        <is>
          <t>Every page uses the same layout: the top bar with Dashboard / Plan / Trends and the account button, then white rounded cards on a light background.</t>
        </is>
      </c>
      <c r="H13" s="102" t="n"/>
      <c r="I13" s="103" t="n"/>
      <c r="J13" s="77" t="n"/>
      <c r="K13" s="102" t="inlineStr">
        <is>
          <t>Compatibility Testing Evidence/chrome-dashboard.png</t>
        </is>
      </c>
      <c r="L13" s="104" t="n">
        <v>18.33</v>
      </c>
    </row>
    <row r="14" ht="119" customHeight="1">
      <c r="B14" s="21" t="n"/>
      <c r="C14" s="65" t="n">
        <v>2</v>
      </c>
      <c r="D14" s="71" t="inlineStr">
        <is>
          <t>Page structure</t>
        </is>
      </c>
      <c r="E14" s="45" t="inlineStr">
        <is>
          <t xml:space="preserve">Do page colours and fonts match company branding? </t>
        </is>
      </c>
      <c r="F14" s="100" t="inlineStr">
        <is>
          <t>Pass</t>
        </is>
      </c>
      <c r="G14" s="102" t="inlineStr">
        <is>
          <t>We don't have an official brand guide, so I checked the colours are consistent: the main buttons are the same dark colour on every page and the accent colour (#c0362c, La Trobe red) is used for icons and links.</t>
        </is>
      </c>
      <c r="H14" s="102" t="n"/>
      <c r="I14" s="105" t="n"/>
      <c r="J14" s="105" t="n"/>
      <c r="K14" s="102" t="n"/>
      <c r="L14" s="104" t="n">
        <v>4.38</v>
      </c>
    </row>
    <row r="15" ht="54" customHeight="1">
      <c r="B15" s="21" t="n"/>
      <c r="C15" s="65" t="n">
        <v>3</v>
      </c>
      <c r="D15" s="71" t="inlineStr">
        <is>
          <t>Page structure</t>
        </is>
      </c>
      <c r="E15" s="45" t="inlineStr">
        <is>
          <t>Does the page description (e.g. in the title bar or tab) correctly reflect the page content?</t>
        </is>
      </c>
      <c r="F15" s="100" t="inlineStr">
        <is>
          <t>Pass</t>
        </is>
      </c>
      <c r="G15" s="102" t="inlineStr">
        <is>
          <t>The browser tab says "Learning Journey Assistant" on all 6 pages, which matches the app.</t>
        </is>
      </c>
      <c r="H15" s="102" t="n"/>
      <c r="I15" s="105" t="n"/>
      <c r="J15" s="105" t="n"/>
      <c r="K15" s="102" t="n"/>
      <c r="L15" s="104" t="n">
        <v>10.43</v>
      </c>
    </row>
    <row r="16" ht="106" customHeight="1">
      <c r="B16" s="21" t="n"/>
      <c r="C16" s="65" t="n">
        <v>4</v>
      </c>
      <c r="D16" s="71" t="inlineStr">
        <is>
          <t>Page structure</t>
        </is>
      </c>
      <c r="E16" s="45" t="inlineStr">
        <is>
          <t xml:space="preserve">Have correct and consistent fonts, text sizes and text positions been used, including: 
- Header 
- Menu bar 
- Body/content 
- Input and output fields
- Buttons (e.g. Next/Previous, Submit/Cancel etc.) 
- Footer </t>
        </is>
      </c>
      <c r="F16" s="100" t="inlineStr">
        <is>
          <t>Pass</t>
        </is>
      </c>
      <c r="G16" s="102" t="inlineStr">
        <is>
          <t>The top bar, page text, form fields and buttons all use the same font. Headings are bigger/bolder and small notes are smaller, and nothing overlaps. (There is no footer.)</t>
        </is>
      </c>
      <c r="H16" s="102" t="n"/>
      <c r="I16" s="105" t="n"/>
      <c r="J16" s="105" t="n"/>
      <c r="K16" s="102" t="n"/>
      <c r="L16" s="104" t="n">
        <v>3.03</v>
      </c>
    </row>
    <row r="17" ht="119" customHeight="1">
      <c r="B17" s="21" t="n"/>
      <c r="C17" s="65" t="n">
        <v>5</v>
      </c>
      <c r="D17" s="71" t="inlineStr">
        <is>
          <t>Page structure</t>
        </is>
      </c>
      <c r="E17" s="45" t="inlineStr">
        <is>
          <t>Does the page display correctly across different screen resolutions, including:
- High definition (HD) 
- Recommended display setting (on computer)
- Lowest display setting (on computer)
- Devices (e.g. mobile, tablet, watch)</t>
        </is>
      </c>
      <c r="F17" s="100" t="inlineStr">
        <is>
          <t>Pass</t>
        </is>
      </c>
      <c r="G17" s="102" t="inlineStr">
        <is>
          <t>Checked all 5 pages at 1920x1080 (HD), 1440x900 (recommended on this Mac), 1366x768 and 1024x768 (lowest). On wide screens the dashboard shows two columns, on smaller ones it stacks. No problems.</t>
        </is>
      </c>
      <c r="H17" s="102" t="n"/>
      <c r="I17" s="105" t="n"/>
      <c r="J17" s="105" t="n"/>
      <c r="K17" s="102" t="inlineStr">
        <is>
          <t>Compatibility Testing Evidence/chrome-resolution-small.png</t>
        </is>
      </c>
      <c r="L17" s="104" t="n">
        <v>15.73</v>
      </c>
    </row>
    <row r="18" ht="67" customHeight="1">
      <c r="B18" s="21" t="n"/>
      <c r="C18" s="65" t="n">
        <v>6</v>
      </c>
      <c r="D18" s="71" t="inlineStr">
        <is>
          <t>Page structure</t>
        </is>
      </c>
      <c r="E18" s="45" t="inlineStr">
        <is>
          <t>Does the page scroll smoothly without lagging?</t>
        </is>
      </c>
      <c r="F18" s="100" t="inlineStr">
        <is>
          <t>Pass</t>
        </is>
      </c>
      <c r="G18" s="102" t="inlineStr">
        <is>
          <t>Scrolled the dashboard from top to bottom. It was smooth with no lag (about 61 frames per second).</t>
        </is>
      </c>
      <c r="H18" s="102" t="n"/>
      <c r="I18" s="105" t="n"/>
      <c r="J18" s="105" t="n"/>
      <c r="K18" s="102" t="n"/>
      <c r="L18" s="104" t="n">
        <v>3.08</v>
      </c>
    </row>
    <row r="19" ht="67" customHeight="1">
      <c r="B19" s="21" t="n"/>
      <c r="C19" s="65" t="n">
        <v>7</v>
      </c>
      <c r="D19" s="71" t="inlineStr">
        <is>
          <t>Page structure</t>
        </is>
      </c>
      <c r="E19" s="45" t="inlineStr">
        <is>
          <t>Is the page content viewable without the need for a horizontal scroll bar? (horizontal scrolling is generally not recommended/preferred)</t>
        </is>
      </c>
      <c r="F19" s="100" t="inlineStr">
        <is>
          <t>Pass</t>
        </is>
      </c>
      <c r="G19" s="102" t="inlineStr">
        <is>
          <t>No horizontal scroll bar on any of the 7 pages (login, dashboard, outcome, quiz, plan, trends, profile).</t>
        </is>
      </c>
      <c r="H19" s="102" t="n"/>
      <c r="I19" s="105" t="n"/>
      <c r="J19" s="105" t="n"/>
      <c r="K19" s="102" t="n"/>
      <c r="L19" s="104" t="n">
        <v>17.4</v>
      </c>
    </row>
    <row r="20" ht="106" customHeight="1">
      <c r="B20" s="21" t="n"/>
      <c r="C20" s="65" t="n">
        <v>8</v>
      </c>
      <c r="D20" s="71" t="inlineStr">
        <is>
          <t>Page structure</t>
        </is>
      </c>
      <c r="E20" s="45" t="inlineStr">
        <is>
          <t>Do menus function correctly when opened, traversed and activated/clicked, including: 
- Hamburger menu
- Expandable menus
- Collapsible menus
- Drop down "more information" menus (usually available via an ellipsis …)</t>
        </is>
      </c>
      <c r="F20" s="106" t="inlineStr">
        <is>
          <t>Pass</t>
        </is>
      </c>
      <c r="G20" s="102" t="inlineStr">
        <is>
          <t>No hamburger menu. The account menu (round button with my initials) opens on click, closes with Escape or by clicking somewhere else, and "Profile" opens my profile page.</t>
        </is>
      </c>
      <c r="H20" s="102" t="n"/>
      <c r="I20" s="105" t="n"/>
      <c r="J20" s="105" t="n"/>
      <c r="K20" s="102" t="inlineStr">
        <is>
          <t>Compatibility Testing Evidence/chrome-account-menu.png</t>
        </is>
      </c>
      <c r="L20" s="104" t="n">
        <v>3.5</v>
      </c>
    </row>
    <row r="21" ht="80" customHeight="1">
      <c r="B21" s="21" t="n"/>
      <c r="C21" s="65" t="n">
        <v>9</v>
      </c>
      <c r="D21" s="71" t="inlineStr">
        <is>
          <t>Page structure</t>
        </is>
      </c>
      <c r="E21" s="45" t="inlineStr">
        <is>
          <t>Does the page view correctly when using zoom in and out?</t>
        </is>
      </c>
      <c r="F21" s="106" t="inlineStr">
        <is>
          <t>Pass</t>
        </is>
      </c>
      <c r="G21" s="102" t="inlineStr">
        <is>
          <t>Zoomed the dashboard and an outcome page in to 200% and out to 50%. The text and mastery bars resized and nothing went off the screen.</t>
        </is>
      </c>
      <c r="H21" s="102" t="n"/>
      <c r="I21" s="105" t="n"/>
      <c r="J21" s="105" t="n"/>
      <c r="K21" s="102" t="inlineStr">
        <is>
          <t>Compatibility Testing Evidence/chrome-zoom-200.png</t>
        </is>
      </c>
      <c r="L21" s="104" t="n">
        <v>6.86</v>
      </c>
    </row>
    <row r="22" ht="106" customHeight="1">
      <c r="B22" s="21" t="n"/>
      <c r="C22" s="65" t="n">
        <v>10</v>
      </c>
      <c r="D22" s="71" t="inlineStr">
        <is>
          <t>Page structure</t>
        </is>
      </c>
      <c r="E22" s="45" t="inlineStr">
        <is>
          <t>When JavaScript is turned off, do understandable error messages appear explaining that JavaScript must be enabled to display required content, without any scripts being displayed to on the screen?</t>
        </is>
      </c>
      <c r="F22" s="106" t="inlineStr">
        <is>
          <t>Pass</t>
        </is>
      </c>
      <c r="G22" s="102" t="inlineStr">
        <is>
          <t>I turned JavaScript off. The page shows a clear message: "Please enable JavaScript in your browser to use the Learning Journey Assistant, then reload the page." No code is shown on screen.</t>
        </is>
      </c>
      <c r="H22" s="102" t="n"/>
      <c r="I22" s="105" t="n"/>
      <c r="J22" s="105" t="n"/>
      <c r="K22" s="102" t="inlineStr">
        <is>
          <t>Compatibility Testing Evidence/chrome-javascript-off.png</t>
        </is>
      </c>
      <c r="L22" s="104" t="n">
        <v>1.7</v>
      </c>
    </row>
    <row r="23" ht="106" customHeight="1">
      <c r="B23" s="21" t="n"/>
      <c r="C23" s="65" t="n">
        <v>11</v>
      </c>
      <c r="D23" s="54" t="inlineStr">
        <is>
          <t>Images</t>
        </is>
      </c>
      <c r="E23" s="45" t="inlineStr">
        <is>
          <t>Are images displayed correctly, including: 
- Position on the page (alignment, not overlapping fields, content or edge of screen)
- Rendering 
- Resolution
- Background (e.g. transparent)
- Lazy loading (load on scroll)
- No distortion (i.e. correct aspect ratio)
- No broken links</t>
        </is>
      </c>
      <c r="F23" s="106" t="inlineStr">
        <is>
          <t>Pass</t>
        </is>
      </c>
      <c r="G23" s="102" t="inlineStr">
        <is>
          <t>Our app has no photos or pictures - only small line icons (e.g. the target, lightbulb and arrow icons). They all showed at the right size and position, sharp and not stretched, on every page.</t>
        </is>
      </c>
      <c r="H23" s="102" t="n"/>
      <c r="I23" s="105" t="n"/>
      <c r="J23" s="105" t="n"/>
      <c r="K23" s="102" t="n"/>
      <c r="L23" s="104" t="n">
        <v>10.24</v>
      </c>
    </row>
    <row r="24" ht="54" customHeight="1">
      <c r="B24" s="21" t="n"/>
      <c r="C24" s="65" t="n">
        <v>12</v>
      </c>
      <c r="D24" s="54" t="inlineStr">
        <is>
          <t>Images</t>
        </is>
      </c>
      <c r="E24" s="45" t="inlineStr">
        <is>
          <t>Are images suitable for the given content and context?</t>
        </is>
      </c>
      <c r="F24" s="106" t="inlineStr">
        <is>
          <t>Not applicable</t>
        </is>
      </c>
      <c r="G24" s="102" t="inlineStr">
        <is>
          <t>No photos or pictures in the app, only small icons that match their labels.</t>
        </is>
      </c>
      <c r="H24" s="102" t="n"/>
      <c r="I24" s="105" t="n"/>
      <c r="J24" s="105" t="n"/>
      <c r="K24" s="102" t="n"/>
      <c r="L24" s="104" t="n"/>
    </row>
    <row r="25" ht="184" customHeight="1">
      <c r="B25" s="21" t="n"/>
      <c r="C25" s="65" t="n">
        <v>13</v>
      </c>
      <c r="D25" s="54" t="inlineStr">
        <is>
          <t>Images</t>
        </is>
      </c>
      <c r="E25" s="45" t="inlineStr">
        <is>
          <t xml:space="preserve">Do images include suitable alternative text? </t>
        </is>
      </c>
      <c r="F25" s="106" t="inlineStr">
        <is>
          <t>Pass</t>
        </is>
      </c>
      <c r="G25" s="102" t="inlineStr">
        <is>
          <t>There are no photos that need alt text. The decorative icons are hidden from screen readers, icon-only buttons (like the back arrow and account menu) have a label, and the trend chart has a title and a text description of its values. (This failed in my first test run - see DEF-01. After the fix I retested it and it passed.)</t>
        </is>
      </c>
      <c r="H25" s="102" t="inlineStr">
        <is>
          <t>DEF-01</t>
        </is>
      </c>
      <c r="I25" s="105" t="inlineStr">
        <is>
          <t>Minor</t>
        </is>
      </c>
      <c r="J25" s="105" t="inlineStr">
        <is>
          <t>The mastery trend chart (Trends page) has no text alternative: the chart graphic has no title/description, so screen readers can't tell what it shows. Fix: give the chart a title and a text description of its values. Fixed: the chart now has a title and a text description of its values. Retested 07/10/2026: Pass.</t>
        </is>
      </c>
      <c r="K25" s="102" t="inlineStr">
        <is>
          <t>Before fix: Compatibility Testing Evidence/first-run/chrome-trends.png</t>
        </is>
      </c>
      <c r="L25" s="104" t="n">
        <v>10.26</v>
      </c>
    </row>
    <row r="26" ht="54" customHeight="1">
      <c r="B26" s="21" t="n"/>
      <c r="C26" s="65" t="n">
        <v>14</v>
      </c>
      <c r="D26" s="54" t="inlineStr">
        <is>
          <t>Images</t>
        </is>
      </c>
      <c r="E26" s="45" t="inlineStr">
        <is>
          <t>Do clickable images navigate to the correct location?</t>
        </is>
      </c>
      <c r="F26" s="106" t="inlineStr">
        <is>
          <t>Not applicable</t>
        </is>
      </c>
      <c r="G26" s="102" t="inlineStr">
        <is>
          <t>No clickable images. (The account button shows my initials as text, it's checked in test 8.)</t>
        </is>
      </c>
      <c r="H26" s="102" t="n"/>
      <c r="I26" s="105" t="n"/>
      <c r="J26" s="105" t="n"/>
      <c r="K26" s="102" t="n"/>
      <c r="L26" s="104" t="n"/>
    </row>
    <row r="27" ht="54" customHeight="1">
      <c r="B27" s="21" t="n"/>
      <c r="C27" s="65" t="n">
        <v>15</v>
      </c>
      <c r="D27" s="54" t="inlineStr">
        <is>
          <t>Images</t>
        </is>
      </c>
      <c r="E27" s="45" t="inlineStr">
        <is>
          <t xml:space="preserve">Do images display correctly when screen is zoomed in and out? </t>
        </is>
      </c>
      <c r="F27" s="106" t="inlineStr">
        <is>
          <t>Not applicable</t>
        </is>
      </c>
      <c r="G27" s="102" t="inlineStr">
        <is>
          <t>No images. Icons and the rest of the page were checked at 200% and 50% zoom in test 9.</t>
        </is>
      </c>
      <c r="H27" s="102" t="n"/>
      <c r="I27" s="105" t="n"/>
      <c r="J27" s="105" t="n"/>
      <c r="K27" s="102" t="n"/>
      <c r="L27" s="104" t="n"/>
    </row>
    <row r="28" ht="54" customHeight="1">
      <c r="B28" s="21" t="n"/>
      <c r="C28" s="65" t="n">
        <v>16</v>
      </c>
      <c r="D28" s="54" t="inlineStr">
        <is>
          <t>Images</t>
        </is>
      </c>
      <c r="E28" s="45" t="inlineStr">
        <is>
          <t>Do animated behaviours display correctly (e.g. Giff)</t>
        </is>
      </c>
      <c r="F28" s="106" t="inlineStr">
        <is>
          <t>Not applicable</t>
        </is>
      </c>
      <c r="G28" s="102" t="inlineStr">
        <is>
          <t>No GIFs or animations, apart from a small spinning icon while something loads.</t>
        </is>
      </c>
      <c r="H28" s="102" t="n"/>
      <c r="I28" s="105" t="n"/>
      <c r="J28" s="105" t="n"/>
      <c r="K28" s="102" t="n"/>
      <c r="L28" s="104" t="n"/>
    </row>
    <row r="29" ht="28" customHeight="1">
      <c r="B29" s="21" t="n"/>
      <c r="C29" s="65" t="n">
        <v>17</v>
      </c>
      <c r="D29" s="72" t="inlineStr">
        <is>
          <t>Videos</t>
        </is>
      </c>
      <c r="E29" s="45" t="inlineStr">
        <is>
          <t xml:space="preserve">Are videos displayed, positioned and rendered correctly on the page, with the correct thumbnails? </t>
        </is>
      </c>
      <c r="F29" s="106" t="inlineStr">
        <is>
          <t>Not applicable</t>
        </is>
      </c>
      <c r="G29" s="102" t="inlineStr">
        <is>
          <t>The app doesn't have any videos.</t>
        </is>
      </c>
      <c r="H29" s="102" t="n"/>
      <c r="I29" s="105" t="n"/>
      <c r="J29" s="105" t="n"/>
      <c r="K29" s="102" t="n"/>
      <c r="L29" s="104" t="n"/>
    </row>
    <row r="30" ht="63.7" customHeight="1">
      <c r="B30" s="21" t="n"/>
      <c r="C30" s="65" t="n">
        <v>18</v>
      </c>
      <c r="D30" s="72" t="inlineStr">
        <is>
          <t>Videos</t>
        </is>
      </c>
      <c r="E30" s="45" t="inlineStr">
        <is>
          <t>Do videos play correctly, including (where required):
- Auto play
- Click to play 
- Tap to play
- Picture in picture (PiP)</t>
        </is>
      </c>
      <c r="F30" s="106" t="inlineStr">
        <is>
          <t>Not applicable</t>
        </is>
      </c>
      <c r="G30" s="102" t="inlineStr">
        <is>
          <t>The app doesn't have any videos.</t>
        </is>
      </c>
      <c r="H30" s="102" t="n"/>
      <c r="I30" s="105" t="n"/>
      <c r="J30" s="105" t="n"/>
      <c r="K30" s="102" t="n"/>
      <c r="L30" s="104" t="n"/>
    </row>
    <row r="31" ht="28" customHeight="1">
      <c r="B31" s="21" t="n"/>
      <c r="C31" s="65" t="n">
        <v>19</v>
      </c>
      <c r="D31" s="72" t="inlineStr">
        <is>
          <t>Videos</t>
        </is>
      </c>
      <c r="E31" s="45" t="inlineStr">
        <is>
          <t>Do videos display with the correct defaults (e.g. auto-play, display inline or full screen)</t>
        </is>
      </c>
      <c r="F31" s="106" t="inlineStr">
        <is>
          <t>Not applicable</t>
        </is>
      </c>
      <c r="G31" s="102" t="inlineStr">
        <is>
          <t>The app doesn't have any videos.</t>
        </is>
      </c>
      <c r="H31" s="102" t="n"/>
      <c r="I31" s="105" t="n"/>
      <c r="J31" s="105" t="n"/>
      <c r="K31" s="102" t="n"/>
      <c r="L31" s="104" t="n"/>
    </row>
    <row r="32" ht="50.95" customHeight="1">
      <c r="B32" s="21" t="n"/>
      <c r="C32" s="65" t="n">
        <v>20</v>
      </c>
      <c r="D32" s="72" t="inlineStr">
        <is>
          <t>Videos</t>
        </is>
      </c>
      <c r="E32" s="45" t="inlineStr">
        <is>
          <t>Do all videos display suitable captions, including:
- Captions that match the video content
- Language preferences
- Location on screen</t>
        </is>
      </c>
      <c r="F32" s="106" t="inlineStr">
        <is>
          <t>Not applicable</t>
        </is>
      </c>
      <c r="G32" s="102" t="inlineStr">
        <is>
          <t>The app doesn't have any videos.</t>
        </is>
      </c>
      <c r="H32" s="102" t="n"/>
      <c r="I32" s="105" t="n"/>
      <c r="J32" s="105" t="n"/>
      <c r="K32" s="102" t="n"/>
      <c r="L32" s="104" t="n"/>
    </row>
    <row r="33" ht="50.95" customHeight="1">
      <c r="B33" s="21" t="n"/>
      <c r="C33" s="65" t="n">
        <v>21</v>
      </c>
      <c r="D33" s="72" t="inlineStr">
        <is>
          <t>Videos</t>
        </is>
      </c>
      <c r="E33" s="45" t="inlineStr">
        <is>
          <t>Can videos be moved to:
- Full screen mode 
- Embedded/inline mode
- Press escape from full-screen mode to revert back to inline mode</t>
        </is>
      </c>
      <c r="F33" s="106" t="inlineStr">
        <is>
          <t>Not applicable</t>
        </is>
      </c>
      <c r="G33" s="102" t="inlineStr">
        <is>
          <t>The app doesn't have any videos.</t>
        </is>
      </c>
      <c r="H33" s="102" t="n"/>
      <c r="I33" s="105" t="n"/>
      <c r="J33" s="105" t="n"/>
      <c r="K33" s="102" t="n"/>
      <c r="L33" s="104" t="n"/>
    </row>
    <row r="34" ht="114.65" customHeight="1">
      <c r="B34" s="21" t="n"/>
      <c r="C34" s="65" t="n">
        <v>22</v>
      </c>
      <c r="D34" s="72" t="inlineStr">
        <is>
          <t>Videos</t>
        </is>
      </c>
      <c r="E34" s="45" t="inlineStr">
        <is>
          <t>Do video controls work, including: 
- Play, pause, stop
- Fast forward and rewind (including skip X seconds forward/back)
- Volume 
- Mute/unmute 
- Playback speed (e.g. 0.5x, 1.5x, 2x)
- Resume from last position 
- Download / long-press
- Streaming vs. offline view</t>
        </is>
      </c>
      <c r="F34" s="106" t="inlineStr">
        <is>
          <t>Not applicable</t>
        </is>
      </c>
      <c r="G34" s="102" t="inlineStr">
        <is>
          <t>The app doesn't have any videos.</t>
        </is>
      </c>
      <c r="H34" s="102" t="n"/>
      <c r="I34" s="105" t="n"/>
      <c r="J34" s="105" t="n"/>
      <c r="K34" s="102" t="n"/>
      <c r="L34" s="104" t="n"/>
    </row>
    <row r="35" ht="93" customHeight="1">
      <c r="B35" s="21" t="n"/>
      <c r="C35" s="65" t="n">
        <v>23</v>
      </c>
      <c r="D35" s="51" t="inlineStr">
        <is>
          <t>Forms</t>
        </is>
      </c>
      <c r="E35" s="41" t="inlineStr">
        <is>
          <t xml:space="preserve">Are all required fields visible on the form? </t>
        </is>
      </c>
      <c r="F35" s="106" t="inlineStr">
        <is>
          <t>Pass</t>
        </is>
      </c>
      <c r="G35" s="102" t="inlineStr">
        <is>
          <t>Login form: Student email, Password and Sign in are all visible. The "Commit to a next step" box on the outcome page shows its text field and "Add to my plan" button.</t>
        </is>
      </c>
      <c r="H35" s="102" t="n"/>
      <c r="I35" s="105" t="n"/>
      <c r="J35" s="105" t="n"/>
      <c r="K35" s="102" t="inlineStr">
        <is>
          <t>Compatibility Testing Evidence/chrome-login.png</t>
        </is>
      </c>
      <c r="L35" s="104" t="n">
        <v>4.26</v>
      </c>
    </row>
    <row r="36" ht="178.35" customHeight="1">
      <c r="B36" s="21" t="n"/>
      <c r="C36" s="65" t="n">
        <v>24</v>
      </c>
      <c r="D36" s="52" t="inlineStr">
        <is>
          <t>Forms</t>
        </is>
      </c>
      <c r="E36" s="49" t="inlineStr">
        <is>
          <t>Are all form fields positioned within the boundaries of the form, and not overlapping or truncating, including:
- Labels
- Single line textboxes
- Multi-line textboxes
- Dropdown lists
- Radio buttons
- Checkboxes 
- Date pickers
- Tables 
- Grids 
- Menus and submenus 
- Images
- Drag and drop</t>
        </is>
      </c>
      <c r="F36" s="106" t="inlineStr">
        <is>
          <t>Pass</t>
        </is>
      </c>
      <c r="G36" s="102" t="inlineStr">
        <is>
          <t>On the login form the labels, the two text boxes and the button all sit inside the white box. The reflection text box and its button don't overlap either. Nothing is cut off.</t>
        </is>
      </c>
      <c r="H36" s="102" t="n"/>
      <c r="I36" s="105" t="n"/>
      <c r="J36" s="105" t="n"/>
      <c r="K36" s="102" t="n"/>
      <c r="L36" s="104" t="n">
        <v>4.13</v>
      </c>
    </row>
    <row r="37" ht="127.4" customHeight="1">
      <c r="B37" s="21" t="n"/>
      <c r="C37" s="65" t="n">
        <v>25</v>
      </c>
      <c r="D37" s="52" t="inlineStr">
        <is>
          <t>Forms</t>
        </is>
      </c>
      <c r="E37" s="49" t="inlineStr">
        <is>
          <t>Does tool tip text display correctly for each field, including:
- Single line textboxes
- Multi-line textboxes
- Dropdown lists
- Radio buttons
- Checkboxes 
- Date pickers
- Tables 
- Grids 
- Drag and drop</t>
        </is>
      </c>
      <c r="F37" s="106" t="inlineStr">
        <is>
          <t>Not applicable</t>
        </is>
      </c>
      <c r="G37" s="102" t="inlineStr">
        <is>
          <t>Our form fields don't have tooltips. Each field has a label above it instead ("Student email", "Password").</t>
        </is>
      </c>
      <c r="H37" s="102" t="n"/>
      <c r="I37" s="105" t="n"/>
      <c r="J37" s="105" t="n"/>
      <c r="K37" s="102" t="n"/>
      <c r="L37" s="104" t="n"/>
    </row>
    <row r="38" ht="158" customHeight="1">
      <c r="B38" s="21" t="n"/>
      <c r="C38" s="65" t="n">
        <v>26</v>
      </c>
      <c r="D38" s="52" t="inlineStr">
        <is>
          <t>Forms</t>
        </is>
      </c>
      <c r="E38" s="49" t="inlineStr">
        <is>
          <t>Can data be input into each field correctly, including:
- Single line textboxes
- Multi-line textboxes
- Dropdown lists
- Radio buttons
- Checkboxes 
- Date pickers
- Tables 
- Grids 
- Drag and drop
- Copy/paste</t>
        </is>
      </c>
      <c r="F38" s="106" t="inlineStr">
        <is>
          <t>Pass</t>
        </is>
      </c>
      <c r="G38" s="102" t="inlineStr">
        <is>
          <t>Typed letters, numbers and symbols into the email, password and reflection boxes, and picked an answer (radio button) in the quiz. Everything was accepted, and the password showed as dots. (Didn't test copy/paste because browsers block copying out of password boxes.)</t>
        </is>
      </c>
      <c r="H38" s="102" t="n"/>
      <c r="I38" s="105" t="n"/>
      <c r="J38" s="105" t="n"/>
      <c r="K38" s="102" t="n"/>
      <c r="L38" s="104" t="n">
        <v>7.84</v>
      </c>
    </row>
    <row r="39" ht="158" customHeight="1">
      <c r="B39" s="21" t="n"/>
      <c r="C39" s="65" t="n">
        <v>27</v>
      </c>
      <c r="D39" s="52" t="inlineStr">
        <is>
          <t>Forms</t>
        </is>
      </c>
      <c r="E39" s="49" t="inlineStr">
        <is>
          <t xml:space="preserve">When invalid/negative data is input into a field: 
- Are understandable error messages displayed? 
- Are error messages displayed at the right time (e.g. when focus leaves the field, or on save)?
- Are error messages positioned in the correct location?
- Are error validation icons (e.g. ticks, crosses) displayed in the correct location, colour and format? </t>
        </is>
      </c>
      <c r="F39" s="106" t="inlineStr">
        <is>
          <t>Pass</t>
        </is>
      </c>
      <c r="G39" s="102" t="inlineStr">
        <is>
          <t>Empty email: the browser said "Please fill out this field.". Email without @: "Please include an '@' in the email address. 'not-an-email' is missing an '@'.". Wrong password: a red message "Incorrect email or password." appeared above the Sign in button straight after I clicked it.</t>
        </is>
      </c>
      <c r="H39" s="102" t="n"/>
      <c r="I39" s="105" t="n"/>
      <c r="J39" s="105" t="n"/>
      <c r="K39" s="102" t="inlineStr">
        <is>
          <t>Compatibility Testing Evidence/chrome-invalid-login.png</t>
        </is>
      </c>
      <c r="L39" s="104" t="n">
        <v>1.58</v>
      </c>
    </row>
    <row r="40" ht="145" customHeight="1">
      <c r="B40" s="21" t="n"/>
      <c r="C40" s="65" t="n">
        <v>28</v>
      </c>
      <c r="D40" s="52" t="inlineStr">
        <is>
          <t>Forms</t>
        </is>
      </c>
      <c r="E40" s="49" t="inlineStr">
        <is>
          <t xml:space="preserve">When placeholder text is included in each form field, is the text: 
- Visible 
- Understandable
- Rendered in the correct colour (i.e. to differentiate from user inputs) </t>
        </is>
      </c>
      <c r="F40" s="106" t="inlineStr">
        <is>
          <t>Pass</t>
        </is>
      </c>
      <c r="G40" s="102" t="inlineStr">
        <is>
          <t>The reflection box shows the placeholder "What will you do differently for this outcome?" in grey, which is easy to understand and looks different from the text I type (black). The login boxes start with no placeholder (the email is filled in).</t>
        </is>
      </c>
      <c r="H40" s="102" t="n"/>
      <c r="I40" s="105" t="n"/>
      <c r="J40" s="105" t="n"/>
      <c r="K40" s="102" t="inlineStr">
        <is>
          <t>Compatibility Testing Evidence/chrome-outcome-lo4.png</t>
        </is>
      </c>
      <c r="L40" s="104" t="n">
        <v>4.3</v>
      </c>
    </row>
    <row r="41" ht="93" customHeight="1">
      <c r="B41" s="21" t="n"/>
      <c r="C41" s="65" t="n">
        <v>29</v>
      </c>
      <c r="D41" s="52" t="inlineStr">
        <is>
          <t>Forms</t>
        </is>
      </c>
      <c r="E41" s="49" t="inlineStr">
        <is>
          <t>Do form fields auto-complete correctly, using data previously saved by the browser?</t>
        </is>
      </c>
      <c r="F41" s="106" t="inlineStr">
        <is>
          <t>Not run</t>
        </is>
      </c>
      <c r="G41" s="102" t="inlineStr">
        <is>
          <t>The login boxes are set up for autofill (autocomplete="username" and "current-password"), but the test browser has no saved passwords so I couldn't try it.</t>
        </is>
      </c>
      <c r="H41" s="102" t="n"/>
      <c r="I41" s="105" t="n"/>
      <c r="J41" s="105" t="n"/>
      <c r="K41" s="102" t="n"/>
      <c r="L41" s="104" t="n"/>
    </row>
    <row r="42" ht="171" customHeight="1">
      <c r="A42" s="21" t="n"/>
      <c r="B42" s="21" t="n"/>
      <c r="C42" s="65" t="n">
        <v>30</v>
      </c>
      <c r="D42" s="53" t="inlineStr">
        <is>
          <t>Forms</t>
        </is>
      </c>
      <c r="E42" s="45" t="inlineStr">
        <is>
          <t xml:space="preserve">When the user submits a form (e.g. by clicking Save, Submit or OK):
- Is a visual indicator displayed to indicate that the form is saving (e.g. spinning wheel or progress bar)?
- After the form is saved/submitted, does an appropriate success message appear?
- Is the success message in the correct location, format and colour? </t>
        </is>
      </c>
      <c r="F42" s="100" t="inlineStr">
        <is>
          <t>Pass</t>
        </is>
      </c>
      <c r="G42" s="102" t="inlineStr">
        <is>
          <t>Login: the button changes to "Signing in…" and then the dashboard opens. Reflection: after "Add to my plan" it shows "Saved to your learning plan". Quiz: after the last answer it says "Scoring..." and then "Quiz complete" with my result. AI study plan: the button says "Generating..." and then my plan appears.</t>
        </is>
      </c>
      <c r="H42" s="102" t="n"/>
      <c r="I42" s="105" t="n"/>
      <c r="J42" s="105" t="n"/>
      <c r="K42" s="102" t="inlineStr">
        <is>
          <t>Compatibility Testing Evidence/chrome-quiz-results.png</t>
        </is>
      </c>
      <c r="L42" s="104" t="n">
        <v>15.59</v>
      </c>
    </row>
    <row r="43" ht="119" customFormat="1" customHeight="1" s="5">
      <c r="A43" s="28" t="n"/>
      <c r="B43" s="21" t="n"/>
      <c r="C43" s="65" t="n">
        <v>31</v>
      </c>
      <c r="D43" s="73" t="inlineStr">
        <is>
          <t>Interactions</t>
        </is>
      </c>
      <c r="E43" s="45" t="inlineStr">
        <is>
          <t>Do mouse inputs work correctly, including:
- Hover over (e.g. display tool tip text)
- Right mouse button click 
- Left mouse button click 
- Scroll wheel 
- Programmable mouse buttons
- Any other mouse buttons</t>
        </is>
      </c>
      <c r="F43" s="100" t="inlineStr">
        <is>
          <t>Pass</t>
        </is>
      </c>
      <c r="G43" s="102" t="inlineStr">
        <is>
          <t>Hovering over the Plan / Trends links makes them darker, and buttons and cards change shade on hover. Left click works everywhere, the scroll wheel scrolls the page and right click opens the normal browser menu.</t>
        </is>
      </c>
      <c r="H43" s="102" t="n"/>
      <c r="I43" s="77" t="n"/>
      <c r="J43" s="77" t="n"/>
      <c r="K43" s="102" t="n"/>
      <c r="L43" s="104" t="n">
        <v>5.14</v>
      </c>
      <c r="M43" s="28" t="n"/>
    </row>
    <row r="44" ht="101.95" customFormat="1" customHeight="1" s="5">
      <c r="A44" s="28" t="n"/>
      <c r="B44" s="21" t="n"/>
      <c r="C44" s="65" t="n">
        <v>32</v>
      </c>
      <c r="D44" s="73" t="inlineStr">
        <is>
          <t>Interactions</t>
        </is>
      </c>
      <c r="E44" s="45" t="inlineStr">
        <is>
          <t>Do keyboard inputs work correctly, including:
- Letters
- Numbers
- Symbols
- Function keys (F1 to F12)
- Control keys (e.g. escape, control, command (Apple Mac) alt, shift, tab, print screen, enter, shift lock, num lock, etc.)
- Navigation keys (arrow keys, home, end, page up, page down)</t>
        </is>
      </c>
      <c r="F44" s="100" t="inlineStr">
        <is>
          <t>Pass</t>
        </is>
      </c>
      <c r="G44" s="102" t="inlineStr">
        <is>
          <t>Typed my email, Tab moved to the password box, letters, numbers and symbols worked, Backspace worked and Enter logged me in. Function keys aren't used by the app.</t>
        </is>
      </c>
      <c r="H44" s="102" t="n"/>
      <c r="I44" s="77" t="n"/>
      <c r="J44" s="77" t="n"/>
      <c r="K44" s="102" t="n"/>
      <c r="L44" s="104" t="n">
        <v>2.45</v>
      </c>
      <c r="M44" s="28" t="n"/>
    </row>
    <row r="45" ht="191.1" customFormat="1" customHeight="1" s="5">
      <c r="A45" s="28" t="n"/>
      <c r="B45" s="21" t="n"/>
      <c r="C45" s="65" t="n">
        <v>33</v>
      </c>
      <c r="D45" s="73" t="inlineStr">
        <is>
          <t>Interactions</t>
        </is>
      </c>
      <c r="E45" s="45" t="inlineStr">
        <is>
          <t>Do touchscreen and mobile inputs work correctly, including: 
- Tap
- Double tap
- Multi-touch
- Long press / tap-and-hold
- Swipe
- Scroll 
- Two-finger scroll
- Pinch (zoom in) and spread (zoom out)
- Rotate screen 
- Back navigation (e.g. back button or swipe)
- Forward navigation (e.g. swipe)
- System gestures (e.g. swipe up from bottom of screen)
- Stylus based input
- Voice input</t>
        </is>
      </c>
      <c r="F45" s="100" t="inlineStr">
        <is>
          <t>Not applicable</t>
        </is>
      </c>
      <c r="G45" s="102" t="inlineStr">
        <is>
          <t>This laptop has no touchscreen. Touch is tested on the iPhone and Android sheets.</t>
        </is>
      </c>
      <c r="H45" s="102" t="n"/>
      <c r="I45" s="77" t="n"/>
      <c r="J45" s="77" t="n"/>
      <c r="K45" s="102" t="n"/>
      <c r="L45" s="104" t="n"/>
      <c r="M45" s="28" t="n"/>
    </row>
    <row r="46" ht="101.95" customFormat="1" customHeight="1" s="5">
      <c r="A46" s="28" t="n"/>
      <c r="B46" s="21" t="n"/>
      <c r="C46" s="65" t="n">
        <v>34</v>
      </c>
      <c r="D46" s="73" t="inlineStr">
        <is>
          <t>Interactions</t>
        </is>
      </c>
      <c r="E46" s="45" t="inlineStr">
        <is>
          <t>Do smartwatch inputs work correctly, including: 
- Tap
- Swipe
- Long press (including on text, links, images and video)
- Button press
- Double button press
- Hard press 
- Voice input</t>
        </is>
      </c>
      <c r="F46" s="100" t="inlineStr">
        <is>
          <t>Not applicable</t>
        </is>
      </c>
      <c r="G46" s="102" t="inlineStr">
        <is>
          <t>The app isn't made for smartwatches.</t>
        </is>
      </c>
      <c r="H46" s="102" t="n"/>
      <c r="I46" s="77" t="n"/>
      <c r="J46" s="77" t="n"/>
      <c r="K46" s="102" t="n"/>
      <c r="L46" s="104" t="n"/>
      <c r="M46" s="28" t="n"/>
    </row>
    <row r="47" ht="331.2" customFormat="1" customHeight="1" s="5">
      <c r="A47" s="28" t="n"/>
      <c r="B47" s="21" t="n"/>
      <c r="C47" s="65" t="n">
        <v>35</v>
      </c>
      <c r="D47" s="73" t="inlineStr">
        <is>
          <t>Interactions</t>
        </is>
      </c>
      <c r="E47" s="45" t="inlineStr">
        <is>
          <t>Do joystick inputs work correctly, including: 
- Buttons
       * Primary buttons (e.g. A, B, X, Y)
       * Select/confirm button (enter equivalent)
       * Cancel/back (escape equivalent)
       * Context actions (e.g. shortcuts)
       * Shoulder/trigger buttons (L1, L2, R1, R2)
       * Paging (scroll between sections)
       * Secondary actions (e.g. zoom, rotate)
       * Start button
       * Menu button 
- Directions  
        * Up, down, left, right, diagonal (navigating menus, moving focus)
        * Continuous hold vs. single press (scroll vs. step)
- Analog behaviour
       * Dead zone testing (ensuring slight nudges do not move focus unintentionally)
       * Sensitivity testing (slow vs. fast movements)
       * Left and right sticks 
       * Circular movement 
- Gestures &amp; special inputs - e.g. 
       * Long press buttons 
       * Double-tap buttons 
       * Combination presses (e.g. L1 + R1 = action A)
- System inputs 
       * Home/dashboard button (does app handle pausing/losing focus gracefully?)
       * Power button interactions (suspend, resume)</t>
        </is>
      </c>
      <c r="F47" s="100" t="inlineStr">
        <is>
          <t>Not applicable</t>
        </is>
      </c>
      <c r="G47" s="102" t="inlineStr">
        <is>
          <t>The app isn't made for game controllers / joysticks.</t>
        </is>
      </c>
      <c r="H47" s="102" t="n"/>
      <c r="I47" s="77" t="n"/>
      <c r="J47" s="77" t="n"/>
      <c r="K47" s="102" t="n"/>
      <c r="L47" s="104" t="n"/>
      <c r="M47" s="28" t="n"/>
    </row>
    <row r="48" ht="28" customHeight="1">
      <c r="B48" s="21" t="n"/>
      <c r="C48" s="65" t="n">
        <v>36</v>
      </c>
      <c r="D48" s="64" t="inlineStr">
        <is>
          <t>File download</t>
        </is>
      </c>
      <c r="E48" s="41" t="inlineStr">
        <is>
          <t>Can files be downloaded correctly, including all supported file types, and for max file sizes?</t>
        </is>
      </c>
      <c r="F48" s="100" t="inlineStr">
        <is>
          <t>Not applicable</t>
        </is>
      </c>
      <c r="G48" s="102" t="inlineStr">
        <is>
          <t>The app doesn't have any file downloads.</t>
        </is>
      </c>
      <c r="H48" s="102" t="n"/>
      <c r="I48" s="105" t="n"/>
      <c r="J48" s="105" t="n"/>
      <c r="K48" s="102" t="n"/>
      <c r="L48" s="104" t="n"/>
    </row>
    <row r="49" ht="63.7" customHeight="1">
      <c r="B49" s="21" t="n"/>
      <c r="C49" s="65" t="n">
        <v>37</v>
      </c>
      <c r="D49" s="64" t="inlineStr">
        <is>
          <t>File download</t>
        </is>
      </c>
      <c r="E49" s="41" t="inlineStr">
        <is>
          <t>For each downloaded file: 
- Does the downloaded file open on the given device? 
- Are the file format, layout, fonts and styles correct?
- Is there no text overlapping or truncating?
- Are images displayed correctly?</t>
        </is>
      </c>
      <c r="F49" s="100" t="inlineStr">
        <is>
          <t>Not applicable</t>
        </is>
      </c>
      <c r="G49" s="102" t="inlineStr">
        <is>
          <t>The app doesn't have any file downloads.</t>
        </is>
      </c>
      <c r="H49" s="102" t="n"/>
      <c r="I49" s="105" t="n"/>
      <c r="J49" s="105" t="n"/>
      <c r="K49" s="102" t="n"/>
      <c r="L49" s="104" t="n"/>
    </row>
    <row r="50" ht="28" customFormat="1" customHeight="1" s="5">
      <c r="A50" s="28" t="n"/>
      <c r="B50" s="21" t="n"/>
      <c r="C50" s="65" t="n">
        <v>38</v>
      </c>
      <c r="D50" s="64" t="inlineStr">
        <is>
          <t>File download</t>
        </is>
      </c>
      <c r="E50" s="41" t="inlineStr">
        <is>
          <t>Is there a visual indicator displayed during the download process, so the user understands that a download is in progress (e.g. spinning wheel or progress bar)?</t>
        </is>
      </c>
      <c r="F50" s="100" t="inlineStr">
        <is>
          <t>Not applicable</t>
        </is>
      </c>
      <c r="G50" s="102" t="inlineStr">
        <is>
          <t>The app doesn't have any file downloads.</t>
        </is>
      </c>
      <c r="H50" s="102" t="n"/>
      <c r="I50" s="107" t="n"/>
      <c r="J50" s="77" t="n"/>
      <c r="K50" s="102" t="n"/>
      <c r="L50" s="104" t="n"/>
      <c r="M50" s="28" t="n"/>
    </row>
    <row r="51" ht="28" customFormat="1" customHeight="1" s="5">
      <c r="A51" s="28" t="n"/>
      <c r="B51" s="21" t="n"/>
      <c r="C51" s="65" t="n">
        <v>39</v>
      </c>
      <c r="D51" s="74" t="inlineStr">
        <is>
          <t>File upload</t>
        </is>
      </c>
      <c r="E51" s="41" t="inlineStr">
        <is>
          <t>Can files can uploaded successfully, across all supported file formats, including maximum file sizes?</t>
        </is>
      </c>
      <c r="F51" s="100" t="inlineStr">
        <is>
          <t>Not applicable</t>
        </is>
      </c>
      <c r="G51" s="102" t="inlineStr">
        <is>
          <t>The app doesn't have any file uploads.</t>
        </is>
      </c>
      <c r="H51" s="102" t="n"/>
      <c r="I51" s="107" t="n"/>
      <c r="J51" s="77" t="n"/>
      <c r="K51" s="102" t="n"/>
      <c r="L51" s="104" t="n"/>
      <c r="M51" s="28" t="n"/>
    </row>
    <row r="52" ht="28" customFormat="1" customHeight="1" s="5">
      <c r="A52" s="28" t="n"/>
      <c r="B52" s="21" t="n"/>
      <c r="C52" s="65" t="n">
        <v>40</v>
      </c>
      <c r="D52" s="74" t="inlineStr">
        <is>
          <t>File upload</t>
        </is>
      </c>
      <c r="E52" s="41" t="inlineStr">
        <is>
          <t>Is there a visual indicator displayed during the upload process, so the user understands that an upload is in progress (e.g. spinning wheel or progress bar)?</t>
        </is>
      </c>
      <c r="F52" s="100" t="inlineStr">
        <is>
          <t>Not applicable</t>
        </is>
      </c>
      <c r="G52" s="102" t="inlineStr">
        <is>
          <t>The app doesn't have any file uploads.</t>
        </is>
      </c>
      <c r="H52" s="102" t="n"/>
      <c r="I52" s="107" t="n"/>
      <c r="J52" s="77" t="n"/>
      <c r="K52" s="102" t="n"/>
      <c r="L52" s="104" t="n"/>
      <c r="M52" s="28" t="n"/>
    </row>
    <row r="53" ht="38.25" customFormat="1" customHeight="1" s="5">
      <c r="A53" s="28" t="n"/>
      <c r="B53" s="21" t="n"/>
      <c r="C53" s="65" t="n">
        <v>41</v>
      </c>
      <c r="D53" s="74" t="inlineStr">
        <is>
          <t>File upload</t>
        </is>
      </c>
      <c r="E53" s="41" t="inlineStr">
        <is>
          <t xml:space="preserve">Is a suitable error message displayed for:
- File sizes that are too big 
- Incorrect file formats? </t>
        </is>
      </c>
      <c r="F53" s="100" t="inlineStr">
        <is>
          <t>Not applicable</t>
        </is>
      </c>
      <c r="G53" s="102" t="inlineStr">
        <is>
          <t>The app doesn't have any file uploads.</t>
        </is>
      </c>
      <c r="H53" s="102" t="n"/>
      <c r="I53" s="107" t="n"/>
      <c r="J53" s="77" t="n"/>
      <c r="K53" s="102" t="n"/>
      <c r="L53" s="104" t="n"/>
      <c r="M53" s="28" t="n"/>
    </row>
    <row r="54" ht="158" customHeight="1">
      <c r="B54" s="21" t="n"/>
      <c r="C54" s="65" t="n">
        <v>42</v>
      </c>
      <c r="D54" s="63" t="inlineStr">
        <is>
          <t>Links and navigation</t>
        </is>
      </c>
      <c r="E54" s="45" t="inlineStr">
        <is>
          <t>Is the user able to:  
- Navigate to each field on the page
- Navigate to each link on the page 
- Activate each link on the page 
- Navigate to each menu option on the page 
- Activate each menu option on the page 
- Utilise fields on pop-up screens
- Navigate to next page and previous page 
- Navigate to home page 
- Navigate via voice input</t>
        </is>
      </c>
      <c r="F54" s="100" t="inlineStr">
        <is>
          <t>Pass</t>
        </is>
      </c>
      <c r="G54" s="102" t="inlineStr">
        <is>
          <t>I could reach every field (Email -&gt; Password -&gt; Sign in). The top links go to Dashboard, Plan and Trends, an outcome opens from the dashboard and the browser Back button returns. Refreshing keeps me logged in and Sign out (account menu) takes me back to the login page.</t>
        </is>
      </c>
      <c r="H54" s="102" t="n"/>
      <c r="I54" s="105" t="n"/>
      <c r="J54" s="105" t="n"/>
      <c r="K54" s="102" t="n"/>
      <c r="L54" s="104" t="n">
        <v>5.74</v>
      </c>
    </row>
    <row r="55" ht="132" customHeight="1">
      <c r="B55" s="21" t="n"/>
      <c r="C55" s="65" t="n">
        <v>43</v>
      </c>
      <c r="D55" s="54" t="inlineStr">
        <is>
          <t>Links and navigation</t>
        </is>
      </c>
      <c r="E55" s="45" t="inlineStr">
        <is>
          <t>Do all hyperlinks function correctly, in terms of:
- Hover over (showing tool tip text)
- Left mouse click 
- Keyboard activate (tab to the link and hit enter)
- Long-press / tap-and-hold</t>
        </is>
      </c>
      <c r="F55" s="106" t="inlineStr">
        <is>
          <t>Pass</t>
        </is>
      </c>
      <c r="G55" s="102" t="inlineStr">
        <is>
          <t>The links (top bar, learning outcomes, "Open -&gt;" in the plan) change colour on hover, open the right page with a left click, and also work with the keyboard (Tab to the link and press Enter). Links don't have tooltips.</t>
        </is>
      </c>
      <c r="H55" s="102" t="n"/>
      <c r="I55" s="105" t="n"/>
      <c r="J55" s="105" t="n"/>
      <c r="K55" s="102" t="n"/>
      <c r="L55" s="104" t="n">
        <v>4.55</v>
      </c>
    </row>
    <row r="56" ht="93" customHeight="1">
      <c r="B56" s="21" t="n"/>
      <c r="C56" s="65" t="n">
        <v>44</v>
      </c>
      <c r="D56" s="54" t="inlineStr">
        <is>
          <t>Links and navigation</t>
        </is>
      </c>
      <c r="E56" s="45" t="inlineStr">
        <is>
          <t>Can the user navigate within the web page using the keyboard only, including: 
- Page up 
- Page down 
- Arrow keys 
- Tab / shift tab</t>
        </is>
      </c>
      <c r="F56" s="106" t="inlineStr">
        <is>
          <t>Pass</t>
        </is>
      </c>
      <c r="G56" s="102" t="inlineStr">
        <is>
          <t>On an outcome page, Page Down, Arrow Down and End moved the page down, Page Up and Home moved it back up, and Tab / Shift+Tab move between links and buttons.</t>
        </is>
      </c>
      <c r="H56" s="102" t="n"/>
      <c r="I56" s="105" t="n"/>
      <c r="J56" s="105" t="n"/>
      <c r="K56" s="102" t="n"/>
      <c r="L56" s="104" t="n">
        <v>7.96</v>
      </c>
    </row>
    <row r="57" ht="50.95" customHeight="1">
      <c r="B57" s="21" t="n"/>
      <c r="C57" s="65" t="n">
        <v>45</v>
      </c>
      <c r="D57" s="72" t="inlineStr">
        <is>
          <t>Haptic feedback</t>
        </is>
      </c>
      <c r="E57" s="45" t="inlineStr">
        <is>
          <t xml:space="preserve">For devices, does haptic feedback work correctly including for: 
- Links 
- Buttons 
- Input fields </t>
        </is>
      </c>
      <c r="F57" s="106" t="inlineStr">
        <is>
          <t>Not applicable</t>
        </is>
      </c>
      <c r="G57" s="102" t="inlineStr">
        <is>
          <t>Laptops don't have haptic feedback. The app doesn't use vibration.</t>
        </is>
      </c>
      <c r="H57" s="102" t="n"/>
      <c r="I57" s="105" t="n"/>
      <c r="J57" s="105" t="n"/>
      <c r="K57" s="102" t="n"/>
      <c r="L57" s="104" t="n"/>
    </row>
    <row r="58" ht="38.25" customHeight="1">
      <c r="B58" s="21" t="n"/>
      <c r="C58" s="65" t="n">
        <v>46</v>
      </c>
      <c r="D58" s="54" t="inlineStr">
        <is>
          <t>Search field</t>
        </is>
      </c>
      <c r="E58" s="45" t="inlineStr">
        <is>
          <t xml:space="preserve">Is the search bar:
- Displayed in the correctly location? 
- Expand when clicked/in focus (if applicable)? </t>
        </is>
      </c>
      <c r="F58" s="106" t="inlineStr">
        <is>
          <t>Not applicable</t>
        </is>
      </c>
      <c r="G58" s="102" t="inlineStr">
        <is>
          <t>The app doesn't have a search bar.</t>
        </is>
      </c>
      <c r="H58" s="102" t="n"/>
      <c r="I58" s="105" t="n"/>
      <c r="J58" s="105" t="n"/>
      <c r="K58" s="102" t="n"/>
      <c r="L58" s="104" t="n"/>
    </row>
    <row r="59" ht="80" customHeight="1">
      <c r="A59" s="40" t="n"/>
      <c r="C59" s="65" t="n">
        <v>47</v>
      </c>
      <c r="D59" s="72" t="inlineStr">
        <is>
          <t xml:space="preserve">Printing </t>
        </is>
      </c>
      <c r="E59" s="49" t="inlineStr">
        <is>
          <t>Does print functionality work correctly including for: 
- Font style and size
- Page alignment 
- Page graphics 
- Page fits to the paper size 
- Print preview</t>
        </is>
      </c>
      <c r="F59" s="106" t="inlineStr">
        <is>
          <t>Pass</t>
        </is>
      </c>
      <c r="G59" s="102" t="inlineStr">
        <is>
          <t>Checked the print view of the dashboard at A4 size. Text, fonts and the mastery bars fit on the page and nothing was cut off.</t>
        </is>
      </c>
      <c r="H59" s="102" t="n"/>
      <c r="I59" s="105" t="n"/>
      <c r="J59" s="105" t="n"/>
      <c r="K59" s="102" t="inlineStr">
        <is>
          <t>Compatibility Testing Evidence/chrome-print-preview.png</t>
        </is>
      </c>
      <c r="L59" s="104" t="n">
        <v>3.36</v>
      </c>
    </row>
    <row r="60">
      <c r="B60" s="21" t="n"/>
      <c r="C60" s="30" t="n"/>
      <c r="D60" s="30" t="n"/>
      <c r="E60" s="31" t="n"/>
      <c r="F60" s="32" t="n"/>
      <c r="G60" s="32" t="n"/>
      <c r="H60" s="32" t="n"/>
      <c r="I60" s="32" t="n"/>
      <c r="J60" s="32" t="n"/>
      <c r="K60" s="32" t="n"/>
      <c r="L60" s="24" t="n"/>
    </row>
    <row r="61">
      <c r="B61" s="21" t="n"/>
      <c r="C61" s="33" t="n"/>
      <c r="E61" s="34" t="n"/>
      <c r="F61" s="35" t="n"/>
      <c r="G61" s="35" t="n"/>
      <c r="H61" s="35" t="n"/>
      <c r="I61" s="35" t="n"/>
      <c r="J61" s="35" t="n"/>
      <c r="K61" s="35" t="n"/>
      <c r="L61" s="24" t="n"/>
    </row>
    <row r="62" ht="13.3" customHeight="1" thickBot="1">
      <c r="B62" s="36" t="n"/>
      <c r="C62" s="37" t="inlineStr">
        <is>
          <t xml:space="preserve">© Planit </t>
        </is>
      </c>
      <c r="D62" s="38" t="n"/>
      <c r="E62" s="38" t="n"/>
      <c r="F62" s="39" t="n"/>
      <c r="G62" s="39" t="n"/>
      <c r="H62" s="39" t="n"/>
      <c r="I62" s="39" t="n"/>
      <c r="J62" s="39" t="n"/>
      <c r="K62" s="39" t="n"/>
      <c r="L62" s="29" t="n"/>
    </row>
    <row r="63">
      <c r="G63" s="10" t="n"/>
      <c r="H63" s="10" t="n"/>
      <c r="K63" s="10" t="n"/>
    </row>
    <row r="64">
      <c r="C64" s="11" t="n"/>
      <c r="D64" s="108" t="inlineStr">
        <is>
          <t>Test Metrics</t>
        </is>
      </c>
      <c r="G64" s="10" t="n"/>
      <c r="H64" s="10" t="n"/>
      <c r="K64" s="10" t="n"/>
    </row>
    <row r="65">
      <c r="C65" s="13" t="n"/>
      <c r="D65" s="14" t="n"/>
      <c r="E65" s="109" t="inlineStr">
        <is>
          <t>Total checks in the checklist</t>
        </is>
      </c>
      <c r="F65" s="110">
        <f>COUNTA(C13:C59)</f>
        <v>47.0</v>
      </c>
      <c r="G65" s="10" t="n"/>
      <c r="H65" s="10" t="n"/>
      <c r="K65" s="10" t="n"/>
    </row>
    <row r="66">
      <c r="C66" s="13" t="n"/>
      <c r="D66" s="14" t="n"/>
      <c r="E66" s="109" t="inlineStr">
        <is>
          <t>Tests executed (Pass + Fail)</t>
        </is>
      </c>
      <c r="F66" s="110">
        <f>COUNTIF(F13:F59,"Pass")+COUNTIF(F13:F59,"Fail")</f>
        <v>24.0</v>
      </c>
    </row>
    <row r="67">
      <c r="C67" s="13" t="n"/>
      <c r="D67" s="14" t="n"/>
      <c r="E67" s="109" t="inlineStr">
        <is>
          <t>Passed</t>
        </is>
      </c>
      <c r="F67" s="110">
        <f>COUNTIF(F13:F59,"Pass")</f>
        <v>24.0</v>
      </c>
    </row>
    <row r="68">
      <c r="C68" s="11" t="n"/>
      <c r="D68" s="12" t="n"/>
      <c r="E68" s="109" t="inlineStr">
        <is>
          <t>Failed</t>
        </is>
      </c>
      <c r="F68" s="110">
        <f>COUNTIF(F13:F59,"Fail")</f>
        <v>0.0</v>
      </c>
    </row>
    <row r="69">
      <c r="C69" s="11" t="n"/>
      <c r="D69" s="12" t="n"/>
      <c r="E69" s="109" t="inlineStr">
        <is>
          <t>Not run</t>
        </is>
      </c>
      <c r="F69" s="110">
        <f>COUNTIF(F13:F59,"Not run")</f>
        <v>1.0</v>
      </c>
    </row>
    <row r="70">
      <c r="E70" s="109" t="inlineStr">
        <is>
          <t>Not applicable</t>
        </is>
      </c>
      <c r="F70" s="110">
        <f>COUNTIF(F13:F59,"Not applicable")</f>
        <v>22.0</v>
      </c>
    </row>
    <row r="71">
      <c r="E71" s="109" t="inlineStr">
        <is>
          <t>Total time taken to execute the tests (sec)</t>
        </is>
      </c>
      <c r="F71" s="111">
        <f>SUM(L13:L59)</f>
        <v>171.83999999999997</v>
      </c>
    </row>
    <row r="72">
      <c r="E72" s="109" t="inlineStr">
        <is>
          <t>Average time taken per test (sec)</t>
        </is>
      </c>
      <c r="F72" s="111">
        <f>IFERROR(F71/F66,0)</f>
        <v>7.159999999999999</v>
      </c>
    </row>
    <row r="73">
      <c r="E73" s="109" t="inlineStr">
        <is>
          <t>Pass rate</t>
        </is>
      </c>
      <c r="F73" s="112">
        <f>IFERROR(F67/F66,0)</f>
        <v>1.0</v>
      </c>
    </row>
    <row r="74">
      <c r="E74" s="109" t="inlineStr">
        <is>
          <t>Failure rate</t>
        </is>
      </c>
      <c r="F74" s="112">
        <f>IFERROR(F68/F66,0)</f>
        <v>0.0</v>
      </c>
    </row>
    <row r="75">
      <c r="E75" s="113" t="inlineStr">
        <is>
          <t>Pass rate = Passed ÷ Tests executed. "Not applicable" and "Not run" tests are not counted in the rates or the average.</t>
        </is>
      </c>
    </row>
  </sheetData>
  <conditionalFormatting sqref="F13:K59">
    <cfRule type="cellIs" priority="1" operator="equal" dxfId="5" stopIfTrue="1">
      <formula>RiskAccepted</formula>
    </cfRule>
    <cfRule type="cellIs" priority="2" operator="equal" dxfId="4" stopIfTrue="1">
      <formula>Conforming</formula>
    </cfRule>
    <cfRule type="cellIs" priority="3" operator="equal" dxfId="3" stopIfTrue="1">
      <formula>NotConforming</formula>
    </cfRule>
    <cfRule type="cellIs" priority="4" operator="equal" dxfId="2" stopIfTrue="1">
      <formula>OutOfScope</formula>
    </cfRule>
  </conditionalFormatting>
  <conditionalFormatting sqref="I13:J58">
    <cfRule type="colorScale" priority="71">
      <colorScale>
        <cfvo type="min"/>
        <cfvo type="max"/>
        <color rgb="FFFF7128"/>
        <color rgb="FFFFEF9C"/>
      </colorScale>
    </cfRule>
  </conditionalFormatting>
  <conditionalFormatting sqref="I59:J59">
    <cfRule type="colorScale" priority="7">
      <colorScale>
        <cfvo type="min"/>
        <cfvo type="max"/>
        <color rgb="FFFF7128"/>
        <color rgb="FFFFEF9C"/>
      </colorScale>
    </cfRule>
  </conditionalFormatting>
  <conditionalFormatting sqref="I13:K59">
    <cfRule type="cellIs" priority="31" operator="equal" dxfId="1">
      <formula>"Major"</formula>
    </cfRule>
    <cfRule type="cellIs" priority="32" operator="equal" dxfId="0">
      <formula>"Minor"</formula>
    </cfRule>
  </conditionalFormatting>
  <conditionalFormatting sqref="F13:F59">
    <cfRule type="cellIs" priority="9" operator="equal" dxfId="6">
      <formula>"Pass"</formula>
    </cfRule>
    <cfRule type="cellIs" priority="10" operator="equal" dxfId="7">
      <formula>"Fail"</formula>
    </cfRule>
  </conditionalFormatting>
  <dataValidations count="2">
    <dataValidation sqref="F13:F59" showDropDown="0" showInputMessage="0" showErrorMessage="0" allowBlank="1" type="list">
      <formula1>Status</formula1>
    </dataValidation>
    <dataValidation sqref="I13:I59" showDropDown="0" showInputMessage="0" showErrorMessage="0" allowBlank="1" type="list">
      <formula1>Variables!$D$2:$D$3</formula1>
    </dataValidation>
  </dataValidations>
  <pageMargins left="0.2362204724409449" right="0.2362204724409449" top="0.7480314960629921" bottom="0.7480314960629921" header="0.3149606299212598" footer="0.3149606299212598"/>
  <pageSetup orientation="landscape" paperSize="9"/>
  <drawing xmlns:r="http://schemas.openxmlformats.org/officeDocument/2006/relationships" r:id="rId1"/>
</worksheet>
</file>

<file path=xl/worksheets/sheet3.xml><?xml version="1.0" encoding="utf-8"?>
<worksheet xmlns="http://schemas.openxmlformats.org/spreadsheetml/2006/main">
  <sheetPr codeName="Sheet1">
    <tabColor theme="7" tint="0.3999755851924192"/>
    <outlinePr summaryBelow="1" summaryRight="1"/>
    <pageSetUpPr/>
  </sheetPr>
  <dimension ref="A2:M75"/>
  <sheetViews>
    <sheetView showGridLines="0" workbookViewId="0">
      <pane ySplit="12" topLeftCell="A13" activePane="bottomLeft" state="frozen"/>
      <selection pane="bottomLeft" activeCell="A1" sqref="A1"/>
    </sheetView>
  </sheetViews>
  <sheetFormatPr baseColWidth="8" defaultColWidth="9.09765625" defaultRowHeight="12.75" customHeight="1"/>
  <cols>
    <col width="2.8984375" customWidth="1" style="6" min="1" max="1"/>
    <col width="4.296875" customWidth="1" style="6" min="2" max="2"/>
    <col width="7.59765625" customWidth="1" style="7" min="3" max="3"/>
    <col width="21.8984375" customWidth="1" style="8" min="4" max="4"/>
    <col width="72" customWidth="1" style="9" min="5" max="5"/>
    <col width="14.59765625" bestFit="1" customWidth="1" style="6" min="6" max="6"/>
    <col width="24.59765625" customWidth="1" style="6" min="7" max="7"/>
    <col width="18.19921875" customWidth="1" style="6" min="8" max="8"/>
    <col width="19.3984375" bestFit="1" customWidth="1" style="6" min="9" max="9"/>
    <col width="19.3984375" customWidth="1" style="6" min="10" max="10"/>
    <col width="25" customWidth="1" style="6" min="11" max="11"/>
    <col width="16" customWidth="1" style="6" min="12" max="12"/>
    <col width="3.296875" customWidth="1" style="6" min="13" max="13"/>
    <col width="9.09765625" customWidth="1" style="3" min="14" max="16384"/>
  </cols>
  <sheetData>
    <row r="1" ht="13.3" customHeight="1" thickBot="1"/>
    <row r="2">
      <c r="B2" s="15" t="n"/>
      <c r="C2" s="16" t="n"/>
      <c r="D2" s="17" t="n"/>
      <c r="E2" s="18" t="n"/>
      <c r="F2" s="19" t="n"/>
      <c r="G2" s="19" t="n"/>
      <c r="H2" s="19" t="n"/>
      <c r="I2" s="19" t="n"/>
      <c r="J2" s="19" t="n"/>
      <c r="K2" s="19" t="n"/>
      <c r="L2" s="20" t="n"/>
    </row>
    <row r="3" ht="25.5" customHeight="1">
      <c r="B3" s="21" t="n"/>
      <c r="C3" s="22" t="inlineStr">
        <is>
          <t>Compatibility Testing Checklist</t>
        </is>
      </c>
      <c r="E3" s="23" t="n"/>
      <c r="F3" s="23" t="n"/>
      <c r="G3" s="23" t="n"/>
      <c r="H3" s="23" t="n"/>
      <c r="I3" s="23" t="n"/>
      <c r="J3" s="23" t="n"/>
      <c r="K3" s="23" t="n"/>
      <c r="L3" s="24" t="n"/>
    </row>
    <row r="4">
      <c r="B4" s="21" t="n"/>
      <c r="L4" s="24" t="n"/>
    </row>
    <row r="5">
      <c r="B5" s="21" t="n"/>
      <c r="C5" s="3" t="n"/>
      <c r="D5" s="55" t="inlineStr">
        <is>
          <t xml:space="preserve">Test object: </t>
        </is>
      </c>
      <c r="E5" s="98" t="inlineStr">
        <is>
          <t>Learning Journey Assistant (https://learning-journey-app.onrender.com)</t>
        </is>
      </c>
      <c r="F5" s="57" t="inlineStr">
        <is>
          <t xml:space="preserve">Name of the system being tested </t>
        </is>
      </c>
      <c r="L5" s="24" t="n"/>
    </row>
    <row r="6" ht="26" customHeight="1">
      <c r="B6" s="21" t="n"/>
      <c r="C6" s="3" t="n"/>
      <c r="D6" s="55" t="inlineStr">
        <is>
          <t>Test basis:</t>
        </is>
      </c>
      <c r="E6" s="98" t="inlineStr">
        <is>
          <t>Project proposal must-haves and user stories: a student signs in, sees their mastery dashboard (strengths, skill gaps, progress trends), opens a learning outcome, takes an adaptive AI quiz and generates a learning plan. Also past experience with similar web apps.</t>
        </is>
      </c>
      <c r="F6" s="57" t="inlineStr">
        <is>
          <t>What test design is based on - for example, requirements, epics, user stories, or past experience with similar systems</t>
        </is>
      </c>
      <c r="L6" s="24" t="n"/>
    </row>
    <row r="7">
      <c r="B7" s="21" t="n"/>
      <c r="C7" s="3" t="n"/>
      <c r="D7" s="55" t="inlineStr">
        <is>
          <t>Page name:</t>
        </is>
      </c>
      <c r="E7" s="98" t="inlineStr">
        <is>
          <t>Login, Dashboard, Outcome detail, Quiz, Learning plan, Trends and Profile</t>
        </is>
      </c>
      <c r="F7" s="57" t="inlineStr">
        <is>
          <t>Name of the page or tab being tested</t>
        </is>
      </c>
      <c r="L7" s="24" t="n"/>
    </row>
    <row r="8" ht="26" customHeight="1">
      <c r="B8" s="21" t="n"/>
      <c r="C8" s="3" t="n"/>
      <c r="D8" s="55" t="inlineStr">
        <is>
          <t>Environment details:</t>
        </is>
      </c>
      <c r="E8" s="98" t="inlineStr">
        <is>
          <t>MacBook, macOS 26.5.2, Mozilla Firefox 155.0 (Playwright build), screen 1440x900. Tests run with a Playwright automation script.</t>
        </is>
      </c>
      <c r="F8" s="57" t="inlineStr">
        <is>
          <t>Describe the test environment - e.g. Apple iPhone X running iOS Y, Edge browser version aa.bb</t>
        </is>
      </c>
      <c r="L8" s="24" t="n"/>
    </row>
    <row r="9">
      <c r="B9" s="21" t="n"/>
      <c r="C9" s="3" t="n"/>
      <c r="D9" s="55" t="inlineStr">
        <is>
          <t>Tester name:</t>
        </is>
      </c>
      <c r="E9" s="98" t="inlineStr">
        <is>
          <t>Ritik Rayamajhi</t>
        </is>
      </c>
      <c r="F9" s="57" t="inlineStr">
        <is>
          <t>Name of the person performing the testing</t>
        </is>
      </c>
      <c r="L9" s="24" t="n"/>
    </row>
    <row r="10">
      <c r="B10" s="21" t="n"/>
      <c r="C10" s="3" t="n"/>
      <c r="D10" s="55" t="inlineStr">
        <is>
          <t>Date tested:</t>
        </is>
      </c>
      <c r="E10" s="99" t="n">
        <v>46302</v>
      </c>
      <c r="F10" s="57" t="inlineStr">
        <is>
          <t>Date tests were run on</t>
        </is>
      </c>
      <c r="L10" s="24" t="n"/>
    </row>
    <row r="11">
      <c r="B11" s="21" t="n"/>
      <c r="L11" s="24" t="n"/>
    </row>
    <row r="12" ht="25.5" customFormat="1" customHeight="1" s="4">
      <c r="A12" s="26" t="n"/>
      <c r="B12" s="21" t="n"/>
      <c r="C12" s="66" t="inlineStr">
        <is>
          <t>ID</t>
        </is>
      </c>
      <c r="D12" s="67" t="inlineStr">
        <is>
          <t>Perspective</t>
        </is>
      </c>
      <c r="E12" s="68" t="inlineStr">
        <is>
          <t>Checklist</t>
        </is>
      </c>
      <c r="F12" s="68" t="inlineStr">
        <is>
          <t>Result</t>
        </is>
      </c>
      <c r="G12" s="69" t="inlineStr">
        <is>
          <t>Comments</t>
        </is>
      </c>
      <c r="H12" s="69" t="inlineStr">
        <is>
          <t>Defect ID</t>
        </is>
      </c>
      <c r="I12" s="70" t="inlineStr">
        <is>
          <t>Defect Severity</t>
        </is>
      </c>
      <c r="J12" s="70" t="inlineStr">
        <is>
          <t>Defect Details</t>
        </is>
      </c>
      <c r="K12" s="69" t="inlineStr">
        <is>
          <t>Test Evidence</t>
        </is>
      </c>
      <c r="L12" s="69" t="inlineStr">
        <is>
          <t>Time Taken (sec)</t>
        </is>
      </c>
      <c r="M12" s="26" t="n"/>
    </row>
    <row r="13" ht="93" customHeight="1">
      <c r="B13" s="21" t="n"/>
      <c r="C13" s="65" t="n">
        <v>1</v>
      </c>
      <c r="D13" s="71" t="inlineStr">
        <is>
          <t>Page structure</t>
        </is>
      </c>
      <c r="E13" s="41" t="inlineStr">
        <is>
          <t>Has the correct page template, style sheet and/or structure been used, matching company and project requirements?</t>
        </is>
      </c>
      <c r="F13" s="100" t="inlineStr">
        <is>
          <t>Pass</t>
        </is>
      </c>
      <c r="G13" s="101" t="inlineStr">
        <is>
          <t>Every page uses the same layout: the top bar with Dashboard / Plan / Trends and the account button, then white rounded cards on a light background.</t>
        </is>
      </c>
      <c r="H13" s="102" t="n"/>
      <c r="I13" s="103" t="n"/>
      <c r="J13" s="77" t="n"/>
      <c r="K13" s="102" t="inlineStr">
        <is>
          <t>Compatibility Testing Evidence/firefox-dashboard.png</t>
        </is>
      </c>
      <c r="L13" s="104" t="n">
        <v>12.81</v>
      </c>
    </row>
    <row r="14" ht="119" customHeight="1">
      <c r="B14" s="21" t="n"/>
      <c r="C14" s="65" t="n">
        <v>2</v>
      </c>
      <c r="D14" s="71" t="inlineStr">
        <is>
          <t>Page structure</t>
        </is>
      </c>
      <c r="E14" s="45" t="inlineStr">
        <is>
          <t xml:space="preserve">Do page colours and fonts match company branding? </t>
        </is>
      </c>
      <c r="F14" s="100" t="inlineStr">
        <is>
          <t>Pass</t>
        </is>
      </c>
      <c r="G14" s="102" t="inlineStr">
        <is>
          <t>We don't have an official brand guide, so I checked the colours are consistent: the main buttons are the same dark colour on every page and the accent colour (#c0362c, La Trobe red) is used for icons and links.</t>
        </is>
      </c>
      <c r="H14" s="102" t="n"/>
      <c r="I14" s="105" t="n"/>
      <c r="J14" s="105" t="n"/>
      <c r="K14" s="102" t="n"/>
      <c r="L14" s="104" t="n">
        <v>4.39</v>
      </c>
    </row>
    <row r="15" ht="54" customHeight="1">
      <c r="B15" s="21" t="n"/>
      <c r="C15" s="65" t="n">
        <v>3</v>
      </c>
      <c r="D15" s="71" t="inlineStr">
        <is>
          <t>Page structure</t>
        </is>
      </c>
      <c r="E15" s="45" t="inlineStr">
        <is>
          <t>Does the page description (e.g. in the title bar or tab) correctly reflect the page content?</t>
        </is>
      </c>
      <c r="F15" s="100" t="inlineStr">
        <is>
          <t>Pass</t>
        </is>
      </c>
      <c r="G15" s="102" t="inlineStr">
        <is>
          <t>The browser tab says "Learning Journey Assistant" on all 6 pages, which matches the app.</t>
        </is>
      </c>
      <c r="H15" s="102" t="n"/>
      <c r="I15" s="105" t="n"/>
      <c r="J15" s="105" t="n"/>
      <c r="K15" s="102" t="n"/>
      <c r="L15" s="104" t="n">
        <v>10.67</v>
      </c>
    </row>
    <row r="16" ht="106" customHeight="1">
      <c r="B16" s="21" t="n"/>
      <c r="C16" s="65" t="n">
        <v>4</v>
      </c>
      <c r="D16" s="71" t="inlineStr">
        <is>
          <t>Page structure</t>
        </is>
      </c>
      <c r="E16" s="45" t="inlineStr">
        <is>
          <t xml:space="preserve">Have correct and consistent fonts, text sizes and text positions been used, including: 
- Header 
- Menu bar 
- Body/content 
- Input and output fields
- Buttons (e.g. Next/Previous, Submit/Cancel etc.) 
- Footer </t>
        </is>
      </c>
      <c r="F16" s="100" t="inlineStr">
        <is>
          <t>Pass</t>
        </is>
      </c>
      <c r="G16" s="102" t="inlineStr">
        <is>
          <t>The top bar, page text, form fields and buttons all use the same font. Headings are bigger/bolder and small notes are smaller, and nothing overlaps. (There is no footer.)</t>
        </is>
      </c>
      <c r="H16" s="102" t="n"/>
      <c r="I16" s="105" t="n"/>
      <c r="J16" s="105" t="n"/>
      <c r="K16" s="102" t="n"/>
      <c r="L16" s="104" t="n">
        <v>2.55</v>
      </c>
    </row>
    <row r="17" ht="119" customHeight="1">
      <c r="B17" s="21" t="n"/>
      <c r="C17" s="65" t="n">
        <v>5</v>
      </c>
      <c r="D17" s="71" t="inlineStr">
        <is>
          <t>Page structure</t>
        </is>
      </c>
      <c r="E17" s="45" t="inlineStr">
        <is>
          <t>Does the page display correctly across different screen resolutions, including:
- High definition (HD) 
- Recommended display setting (on computer)
- Lowest display setting (on computer)
- Devices (e.g. mobile, tablet, watch)</t>
        </is>
      </c>
      <c r="F17" s="100" t="inlineStr">
        <is>
          <t>Pass</t>
        </is>
      </c>
      <c r="G17" s="102" t="inlineStr">
        <is>
          <t>Checked all 5 pages at 1920x1080 (HD), 1440x900 (recommended on this Mac), 1366x768 and 1024x768 (lowest). On wide screens the dashboard shows two columns, on smaller ones it stacks. No problems.</t>
        </is>
      </c>
      <c r="H17" s="102" t="n"/>
      <c r="I17" s="105" t="n"/>
      <c r="J17" s="105" t="n"/>
      <c r="K17" s="102" t="inlineStr">
        <is>
          <t>Compatibility Testing Evidence/firefox-resolution-small.png</t>
        </is>
      </c>
      <c r="L17" s="104" t="n">
        <v>16.61</v>
      </c>
    </row>
    <row r="18" ht="67" customHeight="1">
      <c r="B18" s="21" t="n"/>
      <c r="C18" s="65" t="n">
        <v>6</v>
      </c>
      <c r="D18" s="71" t="inlineStr">
        <is>
          <t>Page structure</t>
        </is>
      </c>
      <c r="E18" s="45" t="inlineStr">
        <is>
          <t>Does the page scroll smoothly without lagging?</t>
        </is>
      </c>
      <c r="F18" s="100" t="inlineStr">
        <is>
          <t>Pass</t>
        </is>
      </c>
      <c r="G18" s="102" t="inlineStr">
        <is>
          <t>Scrolled the dashboard from top to bottom. It was smooth with no lag (about 121 frames per second).</t>
        </is>
      </c>
      <c r="H18" s="102" t="n"/>
      <c r="I18" s="105" t="n"/>
      <c r="J18" s="105" t="n"/>
      <c r="K18" s="102" t="n"/>
      <c r="L18" s="104" t="n">
        <v>3.45</v>
      </c>
    </row>
    <row r="19" ht="67" customHeight="1">
      <c r="B19" s="21" t="n"/>
      <c r="C19" s="65" t="n">
        <v>7</v>
      </c>
      <c r="D19" s="71" t="inlineStr">
        <is>
          <t>Page structure</t>
        </is>
      </c>
      <c r="E19" s="45" t="inlineStr">
        <is>
          <t>Is the page content viewable without the need for a horizontal scroll bar? (horizontal scrolling is generally not recommended/preferred)</t>
        </is>
      </c>
      <c r="F19" s="100" t="inlineStr">
        <is>
          <t>Pass</t>
        </is>
      </c>
      <c r="G19" s="102" t="inlineStr">
        <is>
          <t>No horizontal scroll bar on any of the 7 pages (login, dashboard, outcome, quiz, plan, trends, profile).</t>
        </is>
      </c>
      <c r="H19" s="102" t="n"/>
      <c r="I19" s="105" t="n"/>
      <c r="J19" s="105" t="n"/>
      <c r="K19" s="102" t="n"/>
      <c r="L19" s="104" t="n">
        <v>14.58</v>
      </c>
    </row>
    <row r="20" ht="106" customHeight="1">
      <c r="B20" s="21" t="n"/>
      <c r="C20" s="65" t="n">
        <v>8</v>
      </c>
      <c r="D20" s="71" t="inlineStr">
        <is>
          <t>Page structure</t>
        </is>
      </c>
      <c r="E20" s="45" t="inlineStr">
        <is>
          <t>Do menus function correctly when opened, traversed and activated/clicked, including: 
- Hamburger menu
- Expandable menus
- Collapsible menus
- Drop down "more information" menus (usually available via an ellipsis …)</t>
        </is>
      </c>
      <c r="F20" s="106" t="inlineStr">
        <is>
          <t>Pass</t>
        </is>
      </c>
      <c r="G20" s="102" t="inlineStr">
        <is>
          <t>No hamburger menu. The account menu (round button with my initials) opens on click, closes with Escape or by clicking somewhere else, and "Profile" opens my profile page.</t>
        </is>
      </c>
      <c r="H20" s="102" t="n"/>
      <c r="I20" s="105" t="n"/>
      <c r="J20" s="105" t="n"/>
      <c r="K20" s="102" t="inlineStr">
        <is>
          <t>Compatibility Testing Evidence/firefox-account-menu.png</t>
        </is>
      </c>
      <c r="L20" s="104" t="n">
        <v>3.15</v>
      </c>
    </row>
    <row r="21" ht="80" customHeight="1">
      <c r="B21" s="21" t="n"/>
      <c r="C21" s="65" t="n">
        <v>9</v>
      </c>
      <c r="D21" s="71" t="inlineStr">
        <is>
          <t>Page structure</t>
        </is>
      </c>
      <c r="E21" s="45" t="inlineStr">
        <is>
          <t>Does the page view correctly when using zoom in and out?</t>
        </is>
      </c>
      <c r="F21" s="106" t="inlineStr">
        <is>
          <t>Pass</t>
        </is>
      </c>
      <c r="G21" s="102" t="inlineStr">
        <is>
          <t>Zoomed the dashboard and an outcome page in to 200% and out to 50%. The text and mastery bars resized and nothing went off the screen.</t>
        </is>
      </c>
      <c r="H21" s="102" t="n"/>
      <c r="I21" s="105" t="n"/>
      <c r="J21" s="105" t="n"/>
      <c r="K21" s="102" t="inlineStr">
        <is>
          <t>Compatibility Testing Evidence/firefox-zoom-200.png</t>
        </is>
      </c>
      <c r="L21" s="104" t="n">
        <v>6.91</v>
      </c>
    </row>
    <row r="22" ht="106" customHeight="1">
      <c r="B22" s="21" t="n"/>
      <c r="C22" s="65" t="n">
        <v>10</v>
      </c>
      <c r="D22" s="71" t="inlineStr">
        <is>
          <t>Page structure</t>
        </is>
      </c>
      <c r="E22" s="45" t="inlineStr">
        <is>
          <t>When JavaScript is turned off, do understandable error messages appear explaining that JavaScript must be enabled to display required content, without any scripts being displayed to on the screen?</t>
        </is>
      </c>
      <c r="F22" s="106" t="inlineStr">
        <is>
          <t>Pass</t>
        </is>
      </c>
      <c r="G22" s="102" t="inlineStr">
        <is>
          <t>I turned JavaScript off. The page shows a clear message: "Please enable JavaScript in your browser to use the Learning Journey Assistant, then reload the page." No code is shown on screen.</t>
        </is>
      </c>
      <c r="H22" s="102" t="n"/>
      <c r="I22" s="105" t="n"/>
      <c r="J22" s="105" t="n"/>
      <c r="K22" s="102" t="inlineStr">
        <is>
          <t>Compatibility Testing Evidence/firefox-javascript-off.png</t>
        </is>
      </c>
      <c r="L22" s="104" t="n">
        <v>2.11</v>
      </c>
    </row>
    <row r="23" ht="106" customHeight="1">
      <c r="B23" s="21" t="n"/>
      <c r="C23" s="65" t="n">
        <v>11</v>
      </c>
      <c r="D23" s="54" t="inlineStr">
        <is>
          <t>Images</t>
        </is>
      </c>
      <c r="E23" s="45" t="inlineStr">
        <is>
          <t>Are images displayed correctly, including: 
- Position on the page (alignment, not overlapping fields, content or edge of screen)
- Rendering 
- Resolution
- Background (e.g. transparent)
- Lazy loading (load on scroll)
- No distortion (i.e. correct aspect ratio)
- No broken links</t>
        </is>
      </c>
      <c r="F23" s="106" t="inlineStr">
        <is>
          <t>Pass</t>
        </is>
      </c>
      <c r="G23" s="102" t="inlineStr">
        <is>
          <t>Our app has no photos or pictures - only small line icons (e.g. the target, lightbulb and arrow icons). They all showed at the right size and position, sharp and not stretched, on every page.</t>
        </is>
      </c>
      <c r="H23" s="102" t="n"/>
      <c r="I23" s="105" t="n"/>
      <c r="J23" s="105" t="n"/>
      <c r="K23" s="102" t="n"/>
      <c r="L23" s="104" t="n">
        <v>11.33</v>
      </c>
    </row>
    <row r="24" ht="54" customHeight="1">
      <c r="B24" s="21" t="n"/>
      <c r="C24" s="65" t="n">
        <v>12</v>
      </c>
      <c r="D24" s="54" t="inlineStr">
        <is>
          <t>Images</t>
        </is>
      </c>
      <c r="E24" s="45" t="inlineStr">
        <is>
          <t>Are images suitable for the given content and context?</t>
        </is>
      </c>
      <c r="F24" s="106" t="inlineStr">
        <is>
          <t>Not applicable</t>
        </is>
      </c>
      <c r="G24" s="102" t="inlineStr">
        <is>
          <t>No photos or pictures in the app, only small icons that match their labels.</t>
        </is>
      </c>
      <c r="H24" s="102" t="n"/>
      <c r="I24" s="105" t="n"/>
      <c r="J24" s="105" t="n"/>
      <c r="K24" s="102" t="n"/>
      <c r="L24" s="104" t="n"/>
    </row>
    <row r="25" ht="184" customHeight="1">
      <c r="B25" s="21" t="n"/>
      <c r="C25" s="65" t="n">
        <v>13</v>
      </c>
      <c r="D25" s="54" t="inlineStr">
        <is>
          <t>Images</t>
        </is>
      </c>
      <c r="E25" s="45" t="inlineStr">
        <is>
          <t xml:space="preserve">Do images include suitable alternative text? </t>
        </is>
      </c>
      <c r="F25" s="106" t="inlineStr">
        <is>
          <t>Pass</t>
        </is>
      </c>
      <c r="G25" s="102" t="inlineStr">
        <is>
          <t>There are no photos that need alt text. The decorative icons are hidden from screen readers, icon-only buttons (like the back arrow and account menu) have a label, and the trend chart has a title and a text description of its values. (This failed in my first test run - see DEF-01. After the fix I retested it and it passed.)</t>
        </is>
      </c>
      <c r="H25" s="102" t="inlineStr">
        <is>
          <t>DEF-01</t>
        </is>
      </c>
      <c r="I25" s="105" t="inlineStr">
        <is>
          <t>Minor</t>
        </is>
      </c>
      <c r="J25" s="105" t="inlineStr">
        <is>
          <t>The mastery trend chart (Trends page) has no text alternative: the chart graphic has no title/description, so screen readers can't tell what it shows. Fix: give the chart a title and a text description of its values. Fixed: the chart now has a title and a text description of its values. Retested 07/10/2026: Pass.</t>
        </is>
      </c>
      <c r="K25" s="102" t="inlineStr">
        <is>
          <t>Before fix: Compatibility Testing Evidence/first-run/firefox-trends.png</t>
        </is>
      </c>
      <c r="L25" s="104" t="n">
        <v>10.8</v>
      </c>
    </row>
    <row r="26" ht="54" customHeight="1">
      <c r="B26" s="21" t="n"/>
      <c r="C26" s="65" t="n">
        <v>14</v>
      </c>
      <c r="D26" s="54" t="inlineStr">
        <is>
          <t>Images</t>
        </is>
      </c>
      <c r="E26" s="45" t="inlineStr">
        <is>
          <t>Do clickable images navigate to the correct location?</t>
        </is>
      </c>
      <c r="F26" s="106" t="inlineStr">
        <is>
          <t>Not applicable</t>
        </is>
      </c>
      <c r="G26" s="102" t="inlineStr">
        <is>
          <t>No clickable images. (The account button shows my initials as text, it's checked in test 8.)</t>
        </is>
      </c>
      <c r="H26" s="102" t="n"/>
      <c r="I26" s="105" t="n"/>
      <c r="J26" s="105" t="n"/>
      <c r="K26" s="102" t="n"/>
      <c r="L26" s="104" t="n"/>
    </row>
    <row r="27" ht="54" customHeight="1">
      <c r="B27" s="21" t="n"/>
      <c r="C27" s="65" t="n">
        <v>15</v>
      </c>
      <c r="D27" s="54" t="inlineStr">
        <is>
          <t>Images</t>
        </is>
      </c>
      <c r="E27" s="45" t="inlineStr">
        <is>
          <t xml:space="preserve">Do images display correctly when screen is zoomed in and out? </t>
        </is>
      </c>
      <c r="F27" s="106" t="inlineStr">
        <is>
          <t>Not applicable</t>
        </is>
      </c>
      <c r="G27" s="102" t="inlineStr">
        <is>
          <t>No images. Icons and the rest of the page were checked at 200% and 50% zoom in test 9.</t>
        </is>
      </c>
      <c r="H27" s="102" t="n"/>
      <c r="I27" s="105" t="n"/>
      <c r="J27" s="105" t="n"/>
      <c r="K27" s="102" t="n"/>
      <c r="L27" s="104" t="n"/>
    </row>
    <row r="28" ht="54" customHeight="1">
      <c r="B28" s="21" t="n"/>
      <c r="C28" s="65" t="n">
        <v>16</v>
      </c>
      <c r="D28" s="54" t="inlineStr">
        <is>
          <t>Images</t>
        </is>
      </c>
      <c r="E28" s="45" t="inlineStr">
        <is>
          <t>Do animated behaviours display correctly (e.g. Giff)</t>
        </is>
      </c>
      <c r="F28" s="106" t="inlineStr">
        <is>
          <t>Not applicable</t>
        </is>
      </c>
      <c r="G28" s="102" t="inlineStr">
        <is>
          <t>No GIFs or animations, apart from a small spinning icon while something loads.</t>
        </is>
      </c>
      <c r="H28" s="102" t="n"/>
      <c r="I28" s="105" t="n"/>
      <c r="J28" s="105" t="n"/>
      <c r="K28" s="102" t="n"/>
      <c r="L28" s="104" t="n"/>
    </row>
    <row r="29" ht="28" customHeight="1">
      <c r="B29" s="21" t="n"/>
      <c r="C29" s="65" t="n">
        <v>17</v>
      </c>
      <c r="D29" s="72" t="inlineStr">
        <is>
          <t>Videos</t>
        </is>
      </c>
      <c r="E29" s="45" t="inlineStr">
        <is>
          <t xml:space="preserve">Are videos displayed, positioned and rendered correctly on the page, with the correct thumbnails? </t>
        </is>
      </c>
      <c r="F29" s="106" t="inlineStr">
        <is>
          <t>Not applicable</t>
        </is>
      </c>
      <c r="G29" s="102" t="inlineStr">
        <is>
          <t>The app doesn't have any videos.</t>
        </is>
      </c>
      <c r="H29" s="102" t="n"/>
      <c r="I29" s="105" t="n"/>
      <c r="J29" s="105" t="n"/>
      <c r="K29" s="102" t="n"/>
      <c r="L29" s="104" t="n"/>
    </row>
    <row r="30" ht="63.7" customHeight="1">
      <c r="B30" s="21" t="n"/>
      <c r="C30" s="65" t="n">
        <v>18</v>
      </c>
      <c r="D30" s="72" t="inlineStr">
        <is>
          <t>Videos</t>
        </is>
      </c>
      <c r="E30" s="45" t="inlineStr">
        <is>
          <t>Do videos play correctly, including (where required):
- Auto play
- Click to play 
- Tap to play
- Picture in picture (PiP)</t>
        </is>
      </c>
      <c r="F30" s="106" t="inlineStr">
        <is>
          <t>Not applicable</t>
        </is>
      </c>
      <c r="G30" s="102" t="inlineStr">
        <is>
          <t>The app doesn't have any videos.</t>
        </is>
      </c>
      <c r="H30" s="102" t="n"/>
      <c r="I30" s="105" t="n"/>
      <c r="J30" s="105" t="n"/>
      <c r="K30" s="102" t="n"/>
      <c r="L30" s="104" t="n"/>
    </row>
    <row r="31" ht="28" customHeight="1">
      <c r="B31" s="21" t="n"/>
      <c r="C31" s="65" t="n">
        <v>19</v>
      </c>
      <c r="D31" s="72" t="inlineStr">
        <is>
          <t>Videos</t>
        </is>
      </c>
      <c r="E31" s="45" t="inlineStr">
        <is>
          <t>Do videos display with the correct defaults (e.g. auto-play, display inline or full screen)</t>
        </is>
      </c>
      <c r="F31" s="106" t="inlineStr">
        <is>
          <t>Not applicable</t>
        </is>
      </c>
      <c r="G31" s="102" t="inlineStr">
        <is>
          <t>The app doesn't have any videos.</t>
        </is>
      </c>
      <c r="H31" s="102" t="n"/>
      <c r="I31" s="105" t="n"/>
      <c r="J31" s="105" t="n"/>
      <c r="K31" s="102" t="n"/>
      <c r="L31" s="104" t="n"/>
    </row>
    <row r="32" ht="50.95" customHeight="1">
      <c r="B32" s="21" t="n"/>
      <c r="C32" s="65" t="n">
        <v>20</v>
      </c>
      <c r="D32" s="72" t="inlineStr">
        <is>
          <t>Videos</t>
        </is>
      </c>
      <c r="E32" s="45" t="inlineStr">
        <is>
          <t>Do all videos display suitable captions, including:
- Captions that match the video content
- Language preferences
- Location on screen</t>
        </is>
      </c>
      <c r="F32" s="106" t="inlineStr">
        <is>
          <t>Not applicable</t>
        </is>
      </c>
      <c r="G32" s="102" t="inlineStr">
        <is>
          <t>The app doesn't have any videos.</t>
        </is>
      </c>
      <c r="H32" s="102" t="n"/>
      <c r="I32" s="105" t="n"/>
      <c r="J32" s="105" t="n"/>
      <c r="K32" s="102" t="n"/>
      <c r="L32" s="104" t="n"/>
    </row>
    <row r="33" ht="50.95" customHeight="1">
      <c r="B33" s="21" t="n"/>
      <c r="C33" s="65" t="n">
        <v>21</v>
      </c>
      <c r="D33" s="72" t="inlineStr">
        <is>
          <t>Videos</t>
        </is>
      </c>
      <c r="E33" s="45" t="inlineStr">
        <is>
          <t>Can videos be moved to:
- Full screen mode 
- Embedded/inline mode
- Press escape from full-screen mode to revert back to inline mode</t>
        </is>
      </c>
      <c r="F33" s="106" t="inlineStr">
        <is>
          <t>Not applicable</t>
        </is>
      </c>
      <c r="G33" s="102" t="inlineStr">
        <is>
          <t>The app doesn't have any videos.</t>
        </is>
      </c>
      <c r="H33" s="102" t="n"/>
      <c r="I33" s="105" t="n"/>
      <c r="J33" s="105" t="n"/>
      <c r="K33" s="102" t="n"/>
      <c r="L33" s="104" t="n"/>
    </row>
    <row r="34" ht="114.65" customHeight="1">
      <c r="B34" s="21" t="n"/>
      <c r="C34" s="65" t="n">
        <v>22</v>
      </c>
      <c r="D34" s="72" t="inlineStr">
        <is>
          <t>Videos</t>
        </is>
      </c>
      <c r="E34" s="45" t="inlineStr">
        <is>
          <t>Do video controls work, including: 
- Play, pause, stop
- Fast forward and rewind (including skip X seconds forward/back)
- Volume 
- Mute/unmute 
- Playback speed (e.g. 0.5x, 1.5x, 2x)
- Resume from last position 
- Download / long-press
- Streaming vs. offline view</t>
        </is>
      </c>
      <c r="F34" s="106" t="inlineStr">
        <is>
          <t>Not applicable</t>
        </is>
      </c>
      <c r="G34" s="102" t="inlineStr">
        <is>
          <t>The app doesn't have any videos.</t>
        </is>
      </c>
      <c r="H34" s="102" t="n"/>
      <c r="I34" s="105" t="n"/>
      <c r="J34" s="105" t="n"/>
      <c r="K34" s="102" t="n"/>
      <c r="L34" s="104" t="n"/>
    </row>
    <row r="35" ht="93" customHeight="1">
      <c r="B35" s="21" t="n"/>
      <c r="C35" s="65" t="n">
        <v>23</v>
      </c>
      <c r="D35" s="51" t="inlineStr">
        <is>
          <t>Forms</t>
        </is>
      </c>
      <c r="E35" s="41" t="inlineStr">
        <is>
          <t xml:space="preserve">Are all required fields visible on the form? </t>
        </is>
      </c>
      <c r="F35" s="106" t="inlineStr">
        <is>
          <t>Pass</t>
        </is>
      </c>
      <c r="G35" s="102" t="inlineStr">
        <is>
          <t>Login form: Student email, Password and Sign in are all visible. The "Commit to a next step" box on the outcome page shows its text field and "Add to my plan" button.</t>
        </is>
      </c>
      <c r="H35" s="102" t="n"/>
      <c r="I35" s="105" t="n"/>
      <c r="J35" s="105" t="n"/>
      <c r="K35" s="102" t="inlineStr">
        <is>
          <t>Compatibility Testing Evidence/firefox-login.png</t>
        </is>
      </c>
      <c r="L35" s="104" t="n">
        <v>4.02</v>
      </c>
    </row>
    <row r="36" ht="178.35" customHeight="1">
      <c r="B36" s="21" t="n"/>
      <c r="C36" s="65" t="n">
        <v>24</v>
      </c>
      <c r="D36" s="52" t="inlineStr">
        <is>
          <t>Forms</t>
        </is>
      </c>
      <c r="E36" s="49" t="inlineStr">
        <is>
          <t>Are all form fields positioned within the boundaries of the form, and not overlapping or truncating, including:
- Labels
- Single line textboxes
- Multi-line textboxes
- Dropdown lists
- Radio buttons
- Checkboxes 
- Date pickers
- Tables 
- Grids 
- Menus and submenus 
- Images
- Drag and drop</t>
        </is>
      </c>
      <c r="F36" s="106" t="inlineStr">
        <is>
          <t>Pass</t>
        </is>
      </c>
      <c r="G36" s="102" t="inlineStr">
        <is>
          <t>On the login form the labels, the two text boxes and the button all sit inside the white box. The reflection text box and its button don't overlap either. Nothing is cut off.</t>
        </is>
      </c>
      <c r="H36" s="102" t="n"/>
      <c r="I36" s="105" t="n"/>
      <c r="J36" s="105" t="n"/>
      <c r="K36" s="102" t="n"/>
      <c r="L36" s="104" t="n">
        <v>4.4</v>
      </c>
    </row>
    <row r="37" ht="127.4" customHeight="1">
      <c r="B37" s="21" t="n"/>
      <c r="C37" s="65" t="n">
        <v>25</v>
      </c>
      <c r="D37" s="52" t="inlineStr">
        <is>
          <t>Forms</t>
        </is>
      </c>
      <c r="E37" s="49" t="inlineStr">
        <is>
          <t>Does tool tip text display correctly for each field, including:
- Single line textboxes
- Multi-line textboxes
- Dropdown lists
- Radio buttons
- Checkboxes 
- Date pickers
- Tables 
- Grids 
- Drag and drop</t>
        </is>
      </c>
      <c r="F37" s="106" t="inlineStr">
        <is>
          <t>Not applicable</t>
        </is>
      </c>
      <c r="G37" s="102" t="inlineStr">
        <is>
          <t>Our form fields don't have tooltips. Each field has a label above it instead ("Student email", "Password").</t>
        </is>
      </c>
      <c r="H37" s="102" t="n"/>
      <c r="I37" s="105" t="n"/>
      <c r="J37" s="105" t="n"/>
      <c r="K37" s="102" t="n"/>
      <c r="L37" s="104" t="n"/>
    </row>
    <row r="38" ht="158" customHeight="1">
      <c r="B38" s="21" t="n"/>
      <c r="C38" s="65" t="n">
        <v>26</v>
      </c>
      <c r="D38" s="52" t="inlineStr">
        <is>
          <t>Forms</t>
        </is>
      </c>
      <c r="E38" s="49" t="inlineStr">
        <is>
          <t>Can data be input into each field correctly, including:
- Single line textboxes
- Multi-line textboxes
- Dropdown lists
- Radio buttons
- Checkboxes 
- Date pickers
- Tables 
- Grids 
- Drag and drop
- Copy/paste</t>
        </is>
      </c>
      <c r="F38" s="106" t="inlineStr">
        <is>
          <t>Pass</t>
        </is>
      </c>
      <c r="G38" s="102" t="inlineStr">
        <is>
          <t>Typed letters, numbers and symbols into the email, password and reflection boxes, and picked an answer (radio button) in the quiz. Everything was accepted, and the password showed as dots. (Didn't test copy/paste because browsers block copying out of password boxes.)</t>
        </is>
      </c>
      <c r="H38" s="102" t="n"/>
      <c r="I38" s="105" t="n"/>
      <c r="J38" s="105" t="n"/>
      <c r="K38" s="102" t="n"/>
      <c r="L38" s="104" t="n">
        <v>7.98</v>
      </c>
    </row>
    <row r="39" ht="132" customHeight="1">
      <c r="B39" s="21" t="n"/>
      <c r="C39" s="65" t="n">
        <v>27</v>
      </c>
      <c r="D39" s="52" t="inlineStr">
        <is>
          <t>Forms</t>
        </is>
      </c>
      <c r="E39" s="49" t="inlineStr">
        <is>
          <t xml:space="preserve">When invalid/negative data is input into a field: 
- Are understandable error messages displayed? 
- Are error messages displayed at the right time (e.g. when focus leaves the field, or on save)?
- Are error messages positioned in the correct location?
- Are error validation icons (e.g. ticks, crosses) displayed in the correct location, colour and format? </t>
        </is>
      </c>
      <c r="F39" s="106" t="inlineStr">
        <is>
          <t>Pass</t>
        </is>
      </c>
      <c r="G39" s="102" t="inlineStr">
        <is>
          <t>Empty email: the browser said "Please fill out this field.". Email without @: "Please enter an email address.". Wrong password: a red message "Incorrect email or password." appeared above the Sign in button straight after I clicked it.</t>
        </is>
      </c>
      <c r="H39" s="102" t="n"/>
      <c r="I39" s="105" t="n"/>
      <c r="J39" s="105" t="n"/>
      <c r="K39" s="102" t="inlineStr">
        <is>
          <t>Compatibility Testing Evidence/firefox-invalid-login.png</t>
        </is>
      </c>
      <c r="L39" s="104" t="n">
        <v>1.51</v>
      </c>
    </row>
    <row r="40" ht="145" customHeight="1">
      <c r="B40" s="21" t="n"/>
      <c r="C40" s="65" t="n">
        <v>28</v>
      </c>
      <c r="D40" s="52" t="inlineStr">
        <is>
          <t>Forms</t>
        </is>
      </c>
      <c r="E40" s="49" t="inlineStr">
        <is>
          <t xml:space="preserve">When placeholder text is included in each form field, is the text: 
- Visible 
- Understandable
- Rendered in the correct colour (i.e. to differentiate from user inputs) </t>
        </is>
      </c>
      <c r="F40" s="106" t="inlineStr">
        <is>
          <t>Pass</t>
        </is>
      </c>
      <c r="G40" s="102" t="inlineStr">
        <is>
          <t>The reflection box shows the placeholder "What will you do differently for this outcome?" in grey, which is easy to understand and looks different from the text I type (black). The login boxes start with no placeholder (the email is filled in).</t>
        </is>
      </c>
      <c r="H40" s="102" t="n"/>
      <c r="I40" s="105" t="n"/>
      <c r="J40" s="105" t="n"/>
      <c r="K40" s="102" t="inlineStr">
        <is>
          <t>Compatibility Testing Evidence/firefox-outcome-lo4.png</t>
        </is>
      </c>
      <c r="L40" s="104" t="n">
        <v>4.75</v>
      </c>
    </row>
    <row r="41" ht="93" customHeight="1">
      <c r="B41" s="21" t="n"/>
      <c r="C41" s="65" t="n">
        <v>29</v>
      </c>
      <c r="D41" s="52" t="inlineStr">
        <is>
          <t>Forms</t>
        </is>
      </c>
      <c r="E41" s="49" t="inlineStr">
        <is>
          <t>Do form fields auto-complete correctly, using data previously saved by the browser?</t>
        </is>
      </c>
      <c r="F41" s="106" t="inlineStr">
        <is>
          <t>Not run</t>
        </is>
      </c>
      <c r="G41" s="102" t="inlineStr">
        <is>
          <t>The login boxes are set up for autofill (autocomplete="username" and "current-password"), but the test browser has no saved passwords so I couldn't try it.</t>
        </is>
      </c>
      <c r="H41" s="102" t="n"/>
      <c r="I41" s="105" t="n"/>
      <c r="J41" s="105" t="n"/>
      <c r="K41" s="102" t="n"/>
      <c r="L41" s="104" t="n"/>
    </row>
    <row r="42" ht="171" customHeight="1">
      <c r="A42" s="21" t="n"/>
      <c r="B42" s="21" t="n"/>
      <c r="C42" s="65" t="n">
        <v>30</v>
      </c>
      <c r="D42" s="53" t="inlineStr">
        <is>
          <t>Forms</t>
        </is>
      </c>
      <c r="E42" s="45" t="inlineStr">
        <is>
          <t xml:space="preserve">When the user submits a form (e.g. by clicking Save, Submit or OK):
- Is a visual indicator displayed to indicate that the form is saving (e.g. spinning wheel or progress bar)?
- After the form is saved/submitted, does an appropriate success message appear?
- Is the success message in the correct location, format and colour? </t>
        </is>
      </c>
      <c r="F42" s="100" t="inlineStr">
        <is>
          <t>Pass</t>
        </is>
      </c>
      <c r="G42" s="102" t="inlineStr">
        <is>
          <t>Login: the button changes to "Signing in…" and then the dashboard opens. Reflection: after "Add to my plan" it shows "Saved to your learning plan". Quiz: after the last answer it says "Scoring..." and then "Quiz complete" with my result. AI study plan: the button says "Generating..." and then my plan appears.</t>
        </is>
      </c>
      <c r="H42" s="102" t="n"/>
      <c r="I42" s="105" t="n"/>
      <c r="J42" s="105" t="n"/>
      <c r="K42" s="102" t="inlineStr">
        <is>
          <t>Compatibility Testing Evidence/firefox-quiz-results.png</t>
        </is>
      </c>
      <c r="L42" s="104" t="n">
        <v>17.72</v>
      </c>
    </row>
    <row r="43" ht="119" customFormat="1" customHeight="1" s="5">
      <c r="A43" s="28" t="n"/>
      <c r="B43" s="21" t="n"/>
      <c r="C43" s="65" t="n">
        <v>31</v>
      </c>
      <c r="D43" s="73" t="inlineStr">
        <is>
          <t>Interactions</t>
        </is>
      </c>
      <c r="E43" s="45" t="inlineStr">
        <is>
          <t>Do mouse inputs work correctly, including:
- Hover over (e.g. display tool tip text)
- Right mouse button click 
- Left mouse button click 
- Scroll wheel 
- Programmable mouse buttons
- Any other mouse buttons</t>
        </is>
      </c>
      <c r="F43" s="100" t="inlineStr">
        <is>
          <t>Pass</t>
        </is>
      </c>
      <c r="G43" s="102" t="inlineStr">
        <is>
          <t>Hovering over the Plan / Trends links makes them darker, and buttons and cards change shade on hover. Left click works everywhere, the scroll wheel scrolls the page and right click opens the normal browser menu.</t>
        </is>
      </c>
      <c r="H43" s="102" t="n"/>
      <c r="I43" s="77" t="n"/>
      <c r="J43" s="77" t="n"/>
      <c r="K43" s="102" t="n"/>
      <c r="L43" s="104" t="n">
        <v>7.16</v>
      </c>
      <c r="M43" s="28" t="n"/>
    </row>
    <row r="44" ht="101.95" customFormat="1" customHeight="1" s="5">
      <c r="A44" s="28" t="n"/>
      <c r="B44" s="21" t="n"/>
      <c r="C44" s="65" t="n">
        <v>32</v>
      </c>
      <c r="D44" s="73" t="inlineStr">
        <is>
          <t>Interactions</t>
        </is>
      </c>
      <c r="E44" s="45" t="inlineStr">
        <is>
          <t>Do keyboard inputs work correctly, including:
- Letters
- Numbers
- Symbols
- Function keys (F1 to F12)
- Control keys (e.g. escape, control, command (Apple Mac) alt, shift, tab, print screen, enter, shift lock, num lock, etc.)
- Navigation keys (arrow keys, home, end, page up, page down)</t>
        </is>
      </c>
      <c r="F44" s="100" t="inlineStr">
        <is>
          <t>Pass</t>
        </is>
      </c>
      <c r="G44" s="102" t="inlineStr">
        <is>
          <t>Typed my email, Tab moved to the password box, letters, numbers and symbols worked, Backspace worked and Enter logged me in. Function keys aren't used by the app.</t>
        </is>
      </c>
      <c r="H44" s="102" t="n"/>
      <c r="I44" s="77" t="n"/>
      <c r="J44" s="77" t="n"/>
      <c r="K44" s="102" t="n"/>
      <c r="L44" s="104" t="n">
        <v>2.48</v>
      </c>
      <c r="M44" s="28" t="n"/>
    </row>
    <row r="45" ht="191.1" customFormat="1" customHeight="1" s="5">
      <c r="A45" s="28" t="n"/>
      <c r="B45" s="21" t="n"/>
      <c r="C45" s="65" t="n">
        <v>33</v>
      </c>
      <c r="D45" s="73" t="inlineStr">
        <is>
          <t>Interactions</t>
        </is>
      </c>
      <c r="E45" s="45" t="inlineStr">
        <is>
          <t>Do touchscreen and mobile inputs work correctly, including: 
- Tap
- Double tap
- Multi-touch
- Long press / tap-and-hold
- Swipe
- Scroll 
- Two-finger scroll
- Pinch (zoom in) and spread (zoom out)
- Rotate screen 
- Back navigation (e.g. back button or swipe)
- Forward navigation (e.g. swipe)
- System gestures (e.g. swipe up from bottom of screen)
- Stylus based input
- Voice input</t>
        </is>
      </c>
      <c r="F45" s="100" t="inlineStr">
        <is>
          <t>Not applicable</t>
        </is>
      </c>
      <c r="G45" s="102" t="inlineStr">
        <is>
          <t>This laptop has no touchscreen. Touch is tested on the iPhone and Android sheets.</t>
        </is>
      </c>
      <c r="H45" s="102" t="n"/>
      <c r="I45" s="77" t="n"/>
      <c r="J45" s="77" t="n"/>
      <c r="K45" s="102" t="n"/>
      <c r="L45" s="104" t="n"/>
      <c r="M45" s="28" t="n"/>
    </row>
    <row r="46" ht="101.95" customFormat="1" customHeight="1" s="5">
      <c r="A46" s="28" t="n"/>
      <c r="B46" s="21" t="n"/>
      <c r="C46" s="65" t="n">
        <v>34</v>
      </c>
      <c r="D46" s="73" t="inlineStr">
        <is>
          <t>Interactions</t>
        </is>
      </c>
      <c r="E46" s="45" t="inlineStr">
        <is>
          <t>Do smartwatch inputs work correctly, including: 
- Tap
- Swipe
- Long press (including on text, links, images and video)
- Button press
- Double button press
- Hard press 
- Voice input</t>
        </is>
      </c>
      <c r="F46" s="100" t="inlineStr">
        <is>
          <t>Not applicable</t>
        </is>
      </c>
      <c r="G46" s="102" t="inlineStr">
        <is>
          <t>The app isn't made for smartwatches.</t>
        </is>
      </c>
      <c r="H46" s="102" t="n"/>
      <c r="I46" s="77" t="n"/>
      <c r="J46" s="77" t="n"/>
      <c r="K46" s="102" t="n"/>
      <c r="L46" s="104" t="n"/>
      <c r="M46" s="28" t="n"/>
    </row>
    <row r="47" ht="331.2" customFormat="1" customHeight="1" s="5">
      <c r="A47" s="28" t="n"/>
      <c r="B47" s="21" t="n"/>
      <c r="C47" s="65" t="n">
        <v>35</v>
      </c>
      <c r="D47" s="73" t="inlineStr">
        <is>
          <t>Interactions</t>
        </is>
      </c>
      <c r="E47" s="45" t="inlineStr">
        <is>
          <t>Do joystick inputs work correctly, including: 
- Buttons
       * Primary buttons (e.g. A, B, X, Y)
       * Select/confirm button (enter equivalent)
       * Cancel/back (escape equivalent)
       * Context actions (e.g. shortcuts)
       * Shoulder/trigger buttons (L1, L2, R1, R2)
       * Paging (scroll between sections)
       * Secondary actions (e.g. zoom, rotate)
       * Start button
       * Menu button 
- Directions  
        * Up, down, left, right, diagonal (navigating menus, moving focus)
        * Continuous hold vs. single press (scroll vs. step)
- Analog behaviour
       * Dead zone testing (ensuring slight nudges do not move focus unintentionally)
       * Sensitivity testing (slow vs. fast movements)
       * Left and right sticks 
       * Circular movement 
- Gestures &amp; special inputs - e.g. 
       * Long press buttons 
       * Double-tap buttons 
       * Combination presses (e.g. L1 + R1 = action A)
- System inputs 
       * Home/dashboard button (does app handle pausing/losing focus gracefully?)
       * Power button interactions (suspend, resume)</t>
        </is>
      </c>
      <c r="F47" s="100" t="inlineStr">
        <is>
          <t>Not applicable</t>
        </is>
      </c>
      <c r="G47" s="102" t="inlineStr">
        <is>
          <t>The app isn't made for game controllers / joysticks.</t>
        </is>
      </c>
      <c r="H47" s="102" t="n"/>
      <c r="I47" s="77" t="n"/>
      <c r="J47" s="77" t="n"/>
      <c r="K47" s="102" t="n"/>
      <c r="L47" s="104" t="n"/>
      <c r="M47" s="28" t="n"/>
    </row>
    <row r="48" ht="28" customHeight="1">
      <c r="B48" s="21" t="n"/>
      <c r="C48" s="65" t="n">
        <v>36</v>
      </c>
      <c r="D48" s="64" t="inlineStr">
        <is>
          <t>File download</t>
        </is>
      </c>
      <c r="E48" s="41" t="inlineStr">
        <is>
          <t>Can files be downloaded correctly, including all supported file types, and for max file sizes?</t>
        </is>
      </c>
      <c r="F48" s="100" t="inlineStr">
        <is>
          <t>Not applicable</t>
        </is>
      </c>
      <c r="G48" s="102" t="inlineStr">
        <is>
          <t>The app doesn't have any file downloads.</t>
        </is>
      </c>
      <c r="H48" s="102" t="n"/>
      <c r="I48" s="105" t="n"/>
      <c r="J48" s="105" t="n"/>
      <c r="K48" s="102" t="n"/>
      <c r="L48" s="104" t="n"/>
    </row>
    <row r="49" ht="63.7" customHeight="1">
      <c r="B49" s="21" t="n"/>
      <c r="C49" s="65" t="n">
        <v>37</v>
      </c>
      <c r="D49" s="64" t="inlineStr">
        <is>
          <t>File download</t>
        </is>
      </c>
      <c r="E49" s="41" t="inlineStr">
        <is>
          <t>For each downloaded file: 
- Does the downloaded file open on the given device? 
- Are the file format, layout, fonts and styles correct?
- Is there no text overlapping or truncating?
- Are images displayed correctly?</t>
        </is>
      </c>
      <c r="F49" s="100" t="inlineStr">
        <is>
          <t>Not applicable</t>
        </is>
      </c>
      <c r="G49" s="102" t="inlineStr">
        <is>
          <t>The app doesn't have any file downloads.</t>
        </is>
      </c>
      <c r="H49" s="102" t="n"/>
      <c r="I49" s="105" t="n"/>
      <c r="J49" s="105" t="n"/>
      <c r="K49" s="102" t="n"/>
      <c r="L49" s="104" t="n"/>
    </row>
    <row r="50" ht="28" customFormat="1" customHeight="1" s="5">
      <c r="A50" s="28" t="n"/>
      <c r="B50" s="21" t="n"/>
      <c r="C50" s="65" t="n">
        <v>38</v>
      </c>
      <c r="D50" s="64" t="inlineStr">
        <is>
          <t>File download</t>
        </is>
      </c>
      <c r="E50" s="41" t="inlineStr">
        <is>
          <t>Is there a visual indicator displayed during the download process, so the user understands that a download is in progress (e.g. spinning wheel or progress bar)?</t>
        </is>
      </c>
      <c r="F50" s="100" t="inlineStr">
        <is>
          <t>Not applicable</t>
        </is>
      </c>
      <c r="G50" s="102" t="inlineStr">
        <is>
          <t>The app doesn't have any file downloads.</t>
        </is>
      </c>
      <c r="H50" s="102" t="n"/>
      <c r="I50" s="107" t="n"/>
      <c r="J50" s="77" t="n"/>
      <c r="K50" s="102" t="n"/>
      <c r="L50" s="104" t="n"/>
      <c r="M50" s="28" t="n"/>
    </row>
    <row r="51" ht="28" customFormat="1" customHeight="1" s="5">
      <c r="A51" s="28" t="n"/>
      <c r="B51" s="21" t="n"/>
      <c r="C51" s="65" t="n">
        <v>39</v>
      </c>
      <c r="D51" s="74" t="inlineStr">
        <is>
          <t>File upload</t>
        </is>
      </c>
      <c r="E51" s="41" t="inlineStr">
        <is>
          <t>Can files can uploaded successfully, across all supported file formats, including maximum file sizes?</t>
        </is>
      </c>
      <c r="F51" s="100" t="inlineStr">
        <is>
          <t>Not applicable</t>
        </is>
      </c>
      <c r="G51" s="102" t="inlineStr">
        <is>
          <t>The app doesn't have any file uploads.</t>
        </is>
      </c>
      <c r="H51" s="102" t="n"/>
      <c r="I51" s="107" t="n"/>
      <c r="J51" s="77" t="n"/>
      <c r="K51" s="102" t="n"/>
      <c r="L51" s="104" t="n"/>
      <c r="M51" s="28" t="n"/>
    </row>
    <row r="52" ht="28" customFormat="1" customHeight="1" s="5">
      <c r="A52" s="28" t="n"/>
      <c r="B52" s="21" t="n"/>
      <c r="C52" s="65" t="n">
        <v>40</v>
      </c>
      <c r="D52" s="74" t="inlineStr">
        <is>
          <t>File upload</t>
        </is>
      </c>
      <c r="E52" s="41" t="inlineStr">
        <is>
          <t>Is there a visual indicator displayed during the upload process, so the user understands that an upload is in progress (e.g. spinning wheel or progress bar)?</t>
        </is>
      </c>
      <c r="F52" s="100" t="inlineStr">
        <is>
          <t>Not applicable</t>
        </is>
      </c>
      <c r="G52" s="102" t="inlineStr">
        <is>
          <t>The app doesn't have any file uploads.</t>
        </is>
      </c>
      <c r="H52" s="102" t="n"/>
      <c r="I52" s="107" t="n"/>
      <c r="J52" s="77" t="n"/>
      <c r="K52" s="102" t="n"/>
      <c r="L52" s="104" t="n"/>
      <c r="M52" s="28" t="n"/>
    </row>
    <row r="53" ht="38.25" customFormat="1" customHeight="1" s="5">
      <c r="A53" s="28" t="n"/>
      <c r="B53" s="21" t="n"/>
      <c r="C53" s="65" t="n">
        <v>41</v>
      </c>
      <c r="D53" s="74" t="inlineStr">
        <is>
          <t>File upload</t>
        </is>
      </c>
      <c r="E53" s="41" t="inlineStr">
        <is>
          <t xml:space="preserve">Is a suitable error message displayed for:
- File sizes that are too big 
- Incorrect file formats? </t>
        </is>
      </c>
      <c r="F53" s="100" t="inlineStr">
        <is>
          <t>Not applicable</t>
        </is>
      </c>
      <c r="G53" s="102" t="inlineStr">
        <is>
          <t>The app doesn't have any file uploads.</t>
        </is>
      </c>
      <c r="H53" s="102" t="n"/>
      <c r="I53" s="107" t="n"/>
      <c r="J53" s="77" t="n"/>
      <c r="K53" s="102" t="n"/>
      <c r="L53" s="104" t="n"/>
      <c r="M53" s="28" t="n"/>
    </row>
    <row r="54" ht="158" customHeight="1">
      <c r="B54" s="21" t="n"/>
      <c r="C54" s="65" t="n">
        <v>42</v>
      </c>
      <c r="D54" s="63" t="inlineStr">
        <is>
          <t>Links and navigation</t>
        </is>
      </c>
      <c r="E54" s="45" t="inlineStr">
        <is>
          <t>Is the user able to:  
- Navigate to each field on the page
- Navigate to each link on the page 
- Activate each link on the page 
- Navigate to each menu option on the page 
- Activate each menu option on the page 
- Utilise fields on pop-up screens
- Navigate to next page and previous page 
- Navigate to home page 
- Navigate via voice input</t>
        </is>
      </c>
      <c r="F54" s="100" t="inlineStr">
        <is>
          <t>Pass</t>
        </is>
      </c>
      <c r="G54" s="102" t="inlineStr">
        <is>
          <t>I could reach every field (Email -&gt; Password -&gt; Sign in). The top links go to Dashboard, Plan and Trends, an outcome opens from the dashboard and the browser Back button returns. Refreshing keeps me logged in and Sign out (account menu) takes me back to the login page.</t>
        </is>
      </c>
      <c r="H54" s="102" t="n"/>
      <c r="I54" s="105" t="n"/>
      <c r="J54" s="105" t="n"/>
      <c r="K54" s="102" t="n"/>
      <c r="L54" s="104" t="n">
        <v>5.44</v>
      </c>
    </row>
    <row r="55" ht="132" customHeight="1">
      <c r="B55" s="21" t="n"/>
      <c r="C55" s="65" t="n">
        <v>43</v>
      </c>
      <c r="D55" s="54" t="inlineStr">
        <is>
          <t>Links and navigation</t>
        </is>
      </c>
      <c r="E55" s="45" t="inlineStr">
        <is>
          <t>Do all hyperlinks function correctly, in terms of:
- Hover over (showing tool tip text)
- Left mouse click 
- Keyboard activate (tab to the link and hit enter)
- Long-press / tap-and-hold</t>
        </is>
      </c>
      <c r="F55" s="106" t="inlineStr">
        <is>
          <t>Pass</t>
        </is>
      </c>
      <c r="G55" s="102" t="inlineStr">
        <is>
          <t>The links (top bar, learning outcomes, "Open -&gt;" in the plan) change colour on hover, open the right page with a left click, and also work with the keyboard (Tab to the link and press Enter). Links don't have tooltips.</t>
        </is>
      </c>
      <c r="H55" s="102" t="n"/>
      <c r="I55" s="105" t="n"/>
      <c r="J55" s="105" t="n"/>
      <c r="K55" s="102" t="n"/>
      <c r="L55" s="104" t="n">
        <v>4.5</v>
      </c>
    </row>
    <row r="56" ht="93" customHeight="1">
      <c r="B56" s="21" t="n"/>
      <c r="C56" s="65" t="n">
        <v>44</v>
      </c>
      <c r="D56" s="54" t="inlineStr">
        <is>
          <t>Links and navigation</t>
        </is>
      </c>
      <c r="E56" s="45" t="inlineStr">
        <is>
          <t>Can the user navigate within the web page using the keyboard only, including: 
- Page up 
- Page down 
- Arrow keys 
- Tab / shift tab</t>
        </is>
      </c>
      <c r="F56" s="106" t="inlineStr">
        <is>
          <t>Pass</t>
        </is>
      </c>
      <c r="G56" s="102" t="inlineStr">
        <is>
          <t>On an outcome page, Page Down, Arrow Down and End moved the page down, Page Up and Home moved it back up, and Tab / Shift+Tab move between links and buttons.</t>
        </is>
      </c>
      <c r="H56" s="102" t="n"/>
      <c r="I56" s="105" t="n"/>
      <c r="J56" s="105" t="n"/>
      <c r="K56" s="102" t="n"/>
      <c r="L56" s="104" t="n">
        <v>8.59</v>
      </c>
    </row>
    <row r="57" ht="50.95" customHeight="1">
      <c r="B57" s="21" t="n"/>
      <c r="C57" s="65" t="n">
        <v>45</v>
      </c>
      <c r="D57" s="72" t="inlineStr">
        <is>
          <t>Haptic feedback</t>
        </is>
      </c>
      <c r="E57" s="45" t="inlineStr">
        <is>
          <t xml:space="preserve">For devices, does haptic feedback work correctly including for: 
- Links 
- Buttons 
- Input fields </t>
        </is>
      </c>
      <c r="F57" s="106" t="inlineStr">
        <is>
          <t>Not applicable</t>
        </is>
      </c>
      <c r="G57" s="102" t="inlineStr">
        <is>
          <t>Laptops don't have haptic feedback. The app doesn't use vibration.</t>
        </is>
      </c>
      <c r="H57" s="102" t="n"/>
      <c r="I57" s="105" t="n"/>
      <c r="J57" s="105" t="n"/>
      <c r="K57" s="102" t="n"/>
      <c r="L57" s="104" t="n"/>
    </row>
    <row r="58" ht="38.25" customHeight="1">
      <c r="B58" s="21" t="n"/>
      <c r="C58" s="65" t="n">
        <v>46</v>
      </c>
      <c r="D58" s="54" t="inlineStr">
        <is>
          <t>Search field</t>
        </is>
      </c>
      <c r="E58" s="45" t="inlineStr">
        <is>
          <t xml:space="preserve">Is the search bar:
- Displayed in the correctly location? 
- Expand when clicked/in focus (if applicable)? </t>
        </is>
      </c>
      <c r="F58" s="106" t="inlineStr">
        <is>
          <t>Not applicable</t>
        </is>
      </c>
      <c r="G58" s="102" t="inlineStr">
        <is>
          <t>The app doesn't have a search bar.</t>
        </is>
      </c>
      <c r="H58" s="102" t="n"/>
      <c r="I58" s="105" t="n"/>
      <c r="J58" s="105" t="n"/>
      <c r="K58" s="102" t="n"/>
      <c r="L58" s="104" t="n"/>
    </row>
    <row r="59" ht="80" customHeight="1">
      <c r="A59" s="40" t="n"/>
      <c r="C59" s="65" t="n">
        <v>47</v>
      </c>
      <c r="D59" s="72" t="inlineStr">
        <is>
          <t xml:space="preserve">Printing </t>
        </is>
      </c>
      <c r="E59" s="49" t="inlineStr">
        <is>
          <t>Does print functionality work correctly including for: 
- Font style and size
- Page alignment 
- Page graphics 
- Page fits to the paper size 
- Print preview</t>
        </is>
      </c>
      <c r="F59" s="106" t="inlineStr">
        <is>
          <t>Pass</t>
        </is>
      </c>
      <c r="G59" s="102" t="inlineStr">
        <is>
          <t>Checked the print view of the dashboard at A4 size. Text, fonts and the mastery bars fit on the page and nothing was cut off.</t>
        </is>
      </c>
      <c r="H59" s="102" t="n"/>
      <c r="I59" s="105" t="n"/>
      <c r="J59" s="105" t="n"/>
      <c r="K59" s="102" t="inlineStr">
        <is>
          <t>Compatibility Testing Evidence/firefox-print-preview.png</t>
        </is>
      </c>
      <c r="L59" s="104" t="n">
        <v>3.26</v>
      </c>
    </row>
    <row r="60">
      <c r="B60" s="21" t="n"/>
      <c r="C60" s="30" t="n"/>
      <c r="D60" s="30" t="n"/>
      <c r="E60" s="31" t="n"/>
      <c r="F60" s="32" t="n"/>
      <c r="G60" s="32" t="n"/>
      <c r="H60" s="32" t="n"/>
      <c r="I60" s="32" t="n"/>
      <c r="J60" s="32" t="n"/>
      <c r="K60" s="32" t="n"/>
      <c r="L60" s="24" t="n"/>
    </row>
    <row r="61">
      <c r="B61" s="21" t="n"/>
      <c r="C61" s="33" t="n"/>
      <c r="E61" s="34" t="n"/>
      <c r="F61" s="35" t="n"/>
      <c r="G61" s="35" t="n"/>
      <c r="H61" s="35" t="n"/>
      <c r="I61" s="35" t="n"/>
      <c r="J61" s="35" t="n"/>
      <c r="K61" s="35" t="n"/>
      <c r="L61" s="24" t="n"/>
    </row>
    <row r="62" ht="13.3" customHeight="1" thickBot="1">
      <c r="B62" s="36" t="n"/>
      <c r="C62" s="37" t="inlineStr">
        <is>
          <t xml:space="preserve">© Planit </t>
        </is>
      </c>
      <c r="D62" s="38" t="n"/>
      <c r="E62" s="38" t="n"/>
      <c r="F62" s="39" t="n"/>
      <c r="G62" s="39" t="n"/>
      <c r="H62" s="39" t="n"/>
      <c r="I62" s="39" t="n"/>
      <c r="J62" s="39" t="n"/>
      <c r="K62" s="39" t="n"/>
      <c r="L62" s="29" t="n"/>
    </row>
    <row r="63">
      <c r="G63" s="10" t="n"/>
      <c r="H63" s="10" t="n"/>
      <c r="K63" s="10" t="n"/>
    </row>
    <row r="64">
      <c r="C64" s="11" t="n"/>
      <c r="D64" s="108" t="inlineStr">
        <is>
          <t>Test Metrics</t>
        </is>
      </c>
      <c r="G64" s="10" t="n"/>
      <c r="H64" s="10" t="n"/>
      <c r="K64" s="10" t="n"/>
    </row>
    <row r="65">
      <c r="C65" s="13" t="n"/>
      <c r="D65" s="14" t="n"/>
      <c r="E65" s="109" t="inlineStr">
        <is>
          <t>Total checks in the checklist</t>
        </is>
      </c>
      <c r="F65" s="110">
        <f>COUNTA(C13:C59)</f>
        <v>47.0</v>
      </c>
      <c r="G65" s="10" t="n"/>
      <c r="H65" s="10" t="n"/>
      <c r="K65" s="10" t="n"/>
    </row>
    <row r="66">
      <c r="C66" s="13" t="n"/>
      <c r="D66" s="14" t="n"/>
      <c r="E66" s="109" t="inlineStr">
        <is>
          <t>Tests executed (Pass + Fail)</t>
        </is>
      </c>
      <c r="F66" s="110">
        <f>COUNTIF(F13:F59,"Pass")+COUNTIF(F13:F59,"Fail")</f>
        <v>24.0</v>
      </c>
    </row>
    <row r="67">
      <c r="C67" s="13" t="n"/>
      <c r="D67" s="14" t="n"/>
      <c r="E67" s="109" t="inlineStr">
        <is>
          <t>Passed</t>
        </is>
      </c>
      <c r="F67" s="110">
        <f>COUNTIF(F13:F59,"Pass")</f>
        <v>24.0</v>
      </c>
    </row>
    <row r="68">
      <c r="C68" s="11" t="n"/>
      <c r="D68" s="12" t="n"/>
      <c r="E68" s="109" t="inlineStr">
        <is>
          <t>Failed</t>
        </is>
      </c>
      <c r="F68" s="110">
        <f>COUNTIF(F13:F59,"Fail")</f>
        <v>0.0</v>
      </c>
    </row>
    <row r="69">
      <c r="C69" s="11" t="n"/>
      <c r="D69" s="12" t="n"/>
      <c r="E69" s="109" t="inlineStr">
        <is>
          <t>Not run</t>
        </is>
      </c>
      <c r="F69" s="110">
        <f>COUNTIF(F13:F59,"Not run")</f>
        <v>1.0</v>
      </c>
    </row>
    <row r="70">
      <c r="E70" s="109" t="inlineStr">
        <is>
          <t>Not applicable</t>
        </is>
      </c>
      <c r="F70" s="110">
        <f>COUNTIF(F13:F59,"Not applicable")</f>
        <v>22.0</v>
      </c>
    </row>
    <row r="71">
      <c r="E71" s="109" t="inlineStr">
        <is>
          <t>Total time taken to execute the tests (sec)</t>
        </is>
      </c>
      <c r="F71" s="111">
        <f>SUM(L13:L59)</f>
        <v>171.17000000000002</v>
      </c>
    </row>
    <row r="72">
      <c r="E72" s="109" t="inlineStr">
        <is>
          <t>Average time taken per test (sec)</t>
        </is>
      </c>
      <c r="F72" s="111">
        <f>IFERROR(F71/F66,0)</f>
        <v>7.132083333333334</v>
      </c>
    </row>
    <row r="73">
      <c r="E73" s="109" t="inlineStr">
        <is>
          <t>Pass rate</t>
        </is>
      </c>
      <c r="F73" s="112">
        <f>IFERROR(F67/F66,0)</f>
        <v>1.0</v>
      </c>
    </row>
    <row r="74">
      <c r="E74" s="109" t="inlineStr">
        <is>
          <t>Failure rate</t>
        </is>
      </c>
      <c r="F74" s="112">
        <f>IFERROR(F68/F66,0)</f>
        <v>0.0</v>
      </c>
    </row>
    <row r="75">
      <c r="E75" s="113" t="inlineStr">
        <is>
          <t>Pass rate = Passed ÷ Tests executed. "Not applicable" and "Not run" tests are not counted in the rates or the average.</t>
        </is>
      </c>
    </row>
  </sheetData>
  <conditionalFormatting sqref="F13:K59">
    <cfRule type="cellIs" priority="1" operator="equal" dxfId="5" stopIfTrue="1">
      <formula>RiskAccepted</formula>
    </cfRule>
    <cfRule type="cellIs" priority="2" operator="equal" dxfId="4" stopIfTrue="1">
      <formula>Conforming</formula>
    </cfRule>
    <cfRule type="cellIs" priority="3" operator="equal" dxfId="3" stopIfTrue="1">
      <formula>NotConforming</formula>
    </cfRule>
    <cfRule type="cellIs" priority="4" operator="equal" dxfId="2" stopIfTrue="1">
      <formula>OutOfScope</formula>
    </cfRule>
  </conditionalFormatting>
  <conditionalFormatting sqref="I13:J58">
    <cfRule type="colorScale" priority="71">
      <colorScale>
        <cfvo type="min"/>
        <cfvo type="max"/>
        <color rgb="FFFF7128"/>
        <color rgb="FFFFEF9C"/>
      </colorScale>
    </cfRule>
  </conditionalFormatting>
  <conditionalFormatting sqref="I59:J59">
    <cfRule type="colorScale" priority="7">
      <colorScale>
        <cfvo type="min"/>
        <cfvo type="max"/>
        <color rgb="FFFF7128"/>
        <color rgb="FFFFEF9C"/>
      </colorScale>
    </cfRule>
  </conditionalFormatting>
  <conditionalFormatting sqref="I13:K59">
    <cfRule type="cellIs" priority="31" operator="equal" dxfId="1">
      <formula>"Major"</formula>
    </cfRule>
    <cfRule type="cellIs" priority="32" operator="equal" dxfId="0">
      <formula>"Minor"</formula>
    </cfRule>
  </conditionalFormatting>
  <conditionalFormatting sqref="F13:F59">
    <cfRule type="cellIs" priority="9" operator="equal" dxfId="6">
      <formula>"Pass"</formula>
    </cfRule>
    <cfRule type="cellIs" priority="10" operator="equal" dxfId="7">
      <formula>"Fail"</formula>
    </cfRule>
  </conditionalFormatting>
  <dataValidations count="2">
    <dataValidation sqref="F13:F59" showDropDown="0" showInputMessage="0" showErrorMessage="0" allowBlank="1" type="list">
      <formula1>Status</formula1>
    </dataValidation>
    <dataValidation sqref="I13:I59" showDropDown="0" showInputMessage="0" showErrorMessage="0" allowBlank="1" type="list">
      <formula1>Variables!$D$2:$D$3</formula1>
    </dataValidation>
  </dataValidations>
  <pageMargins left="0.2362204724409449" right="0.2362204724409449" top="0.7480314960629921" bottom="0.7480314960629921" header="0.3149606299212598" footer="0.3149606299212598"/>
  <pageSetup orientation="landscape" paperSize="9"/>
  <drawing xmlns:r="http://schemas.openxmlformats.org/officeDocument/2006/relationships" r:id="rId1"/>
</worksheet>
</file>

<file path=xl/worksheets/sheet4.xml><?xml version="1.0" encoding="utf-8"?>
<worksheet xmlns="http://schemas.openxmlformats.org/spreadsheetml/2006/main">
  <sheetPr codeName="Sheet1">
    <tabColor theme="7" tint="0.3999755851924192"/>
    <outlinePr summaryBelow="1" summaryRight="1"/>
    <pageSetUpPr/>
  </sheetPr>
  <dimension ref="A2:M75"/>
  <sheetViews>
    <sheetView showGridLines="0" workbookViewId="0">
      <pane ySplit="12" topLeftCell="A13" activePane="bottomLeft" state="frozen"/>
      <selection pane="bottomLeft" activeCell="A1" sqref="A1"/>
    </sheetView>
  </sheetViews>
  <sheetFormatPr baseColWidth="8" defaultColWidth="9.09765625" defaultRowHeight="12.75" customHeight="1"/>
  <cols>
    <col width="2.8984375" customWidth="1" style="6" min="1" max="1"/>
    <col width="4.296875" customWidth="1" style="6" min="2" max="2"/>
    <col width="7.59765625" customWidth="1" style="7" min="3" max="3"/>
    <col width="21.8984375" customWidth="1" style="8" min="4" max="4"/>
    <col width="72" customWidth="1" style="9" min="5" max="5"/>
    <col width="14.59765625" bestFit="1" customWidth="1" style="6" min="6" max="6"/>
    <col width="24.59765625" customWidth="1" style="6" min="7" max="7"/>
    <col width="18.19921875" customWidth="1" style="6" min="8" max="8"/>
    <col width="19.3984375" bestFit="1" customWidth="1" style="6" min="9" max="9"/>
    <col width="19.3984375" customWidth="1" style="6" min="10" max="10"/>
    <col width="25" customWidth="1" style="6" min="11" max="11"/>
    <col width="16" customWidth="1" style="6" min="12" max="12"/>
    <col width="3.296875" customWidth="1" style="6" min="13" max="13"/>
    <col width="9.09765625" customWidth="1" style="3" min="14" max="16384"/>
  </cols>
  <sheetData>
    <row r="1" ht="13.3" customHeight="1" thickBot="1"/>
    <row r="2">
      <c r="B2" s="15" t="n"/>
      <c r="C2" s="16" t="n"/>
      <c r="D2" s="17" t="n"/>
      <c r="E2" s="18" t="n"/>
      <c r="F2" s="19" t="n"/>
      <c r="G2" s="19" t="n"/>
      <c r="H2" s="19" t="n"/>
      <c r="I2" s="19" t="n"/>
      <c r="J2" s="19" t="n"/>
      <c r="K2" s="19" t="n"/>
      <c r="L2" s="20" t="n"/>
    </row>
    <row r="3" ht="25.5" customHeight="1">
      <c r="B3" s="21" t="n"/>
      <c r="C3" s="22" t="inlineStr">
        <is>
          <t>Compatibility Testing Checklist</t>
        </is>
      </c>
      <c r="E3" s="23" t="n"/>
      <c r="F3" s="23" t="n"/>
      <c r="G3" s="23" t="n"/>
      <c r="H3" s="23" t="n"/>
      <c r="I3" s="23" t="n"/>
      <c r="J3" s="23" t="n"/>
      <c r="K3" s="23" t="n"/>
      <c r="L3" s="24" t="n"/>
    </row>
    <row r="4">
      <c r="B4" s="21" t="n"/>
      <c r="L4" s="24" t="n"/>
    </row>
    <row r="5">
      <c r="B5" s="21" t="n"/>
      <c r="C5" s="3" t="n"/>
      <c r="D5" s="55" t="inlineStr">
        <is>
          <t xml:space="preserve">Test object: </t>
        </is>
      </c>
      <c r="E5" s="98" t="inlineStr">
        <is>
          <t>Learning Journey Assistant (https://learning-journey-app.onrender.com)</t>
        </is>
      </c>
      <c r="F5" s="57" t="inlineStr">
        <is>
          <t xml:space="preserve">Name of the system being tested </t>
        </is>
      </c>
      <c r="L5" s="24" t="n"/>
    </row>
    <row r="6" ht="26" customHeight="1">
      <c r="B6" s="21" t="n"/>
      <c r="C6" s="3" t="n"/>
      <c r="D6" s="55" t="inlineStr">
        <is>
          <t>Test basis:</t>
        </is>
      </c>
      <c r="E6" s="98" t="inlineStr">
        <is>
          <t>Project proposal must-haves and user stories: a student signs in, sees their mastery dashboard (strengths, skill gaps, progress trends), opens a learning outcome, takes an adaptive AI quiz and generates a learning plan. Also past experience with similar web apps.</t>
        </is>
      </c>
      <c r="F6" s="57" t="inlineStr">
        <is>
          <t>What test design is based on - for example, requirements, epics, user stories, or past experience with similar systems</t>
        </is>
      </c>
      <c r="L6" s="24" t="n"/>
    </row>
    <row r="7">
      <c r="B7" s="21" t="n"/>
      <c r="C7" s="3" t="n"/>
      <c r="D7" s="55" t="inlineStr">
        <is>
          <t>Page name:</t>
        </is>
      </c>
      <c r="E7" s="98" t="inlineStr">
        <is>
          <t>Login, Dashboard, Outcome detail, Quiz, Learning plan, Trends and Profile</t>
        </is>
      </c>
      <c r="F7" s="57" t="inlineStr">
        <is>
          <t>Name of the page or tab being tested</t>
        </is>
      </c>
      <c r="L7" s="24" t="n"/>
    </row>
    <row r="8" ht="26" customHeight="1">
      <c r="B8" s="21" t="n"/>
      <c r="C8" s="3" t="n"/>
      <c r="D8" s="55" t="inlineStr">
        <is>
          <t>Environment details:</t>
        </is>
      </c>
      <c r="E8" s="98" t="inlineStr">
        <is>
          <t>MacBook, macOS 26.5.2, Safari engine WebKit 26.6 (Playwright build), screen 1440x900. Tests run with a Playwright automation script.</t>
        </is>
      </c>
      <c r="F8" s="57" t="inlineStr">
        <is>
          <t>Describe the test environment - e.g. Apple iPhone X running iOS Y, Edge browser version aa.bb</t>
        </is>
      </c>
      <c r="L8" s="24" t="n"/>
    </row>
    <row r="9">
      <c r="B9" s="21" t="n"/>
      <c r="C9" s="3" t="n"/>
      <c r="D9" s="55" t="inlineStr">
        <is>
          <t>Tester name:</t>
        </is>
      </c>
      <c r="E9" s="98" t="inlineStr">
        <is>
          <t>Ritik Rayamajhi</t>
        </is>
      </c>
      <c r="F9" s="57" t="inlineStr">
        <is>
          <t>Name of the person performing the testing</t>
        </is>
      </c>
      <c r="L9" s="24" t="n"/>
    </row>
    <row r="10">
      <c r="B10" s="21" t="n"/>
      <c r="C10" s="3" t="n"/>
      <c r="D10" s="55" t="inlineStr">
        <is>
          <t>Date tested:</t>
        </is>
      </c>
      <c r="E10" s="99" t="n">
        <v>46302</v>
      </c>
      <c r="F10" s="57" t="inlineStr">
        <is>
          <t>Date tests were run on</t>
        </is>
      </c>
      <c r="L10" s="24" t="n"/>
    </row>
    <row r="11">
      <c r="B11" s="21" t="n"/>
      <c r="L11" s="24" t="n"/>
    </row>
    <row r="12" ht="25.5" customFormat="1" customHeight="1" s="4">
      <c r="A12" s="26" t="n"/>
      <c r="B12" s="21" t="n"/>
      <c r="C12" s="66" t="inlineStr">
        <is>
          <t>ID</t>
        </is>
      </c>
      <c r="D12" s="67" t="inlineStr">
        <is>
          <t>Perspective</t>
        </is>
      </c>
      <c r="E12" s="68" t="inlineStr">
        <is>
          <t>Checklist</t>
        </is>
      </c>
      <c r="F12" s="68" t="inlineStr">
        <is>
          <t>Result</t>
        </is>
      </c>
      <c r="G12" s="69" t="inlineStr">
        <is>
          <t>Comments</t>
        </is>
      </c>
      <c r="H12" s="69" t="inlineStr">
        <is>
          <t>Defect ID</t>
        </is>
      </c>
      <c r="I12" s="70" t="inlineStr">
        <is>
          <t>Defect Severity</t>
        </is>
      </c>
      <c r="J12" s="70" t="inlineStr">
        <is>
          <t>Defect Details</t>
        </is>
      </c>
      <c r="K12" s="69" t="inlineStr">
        <is>
          <t>Test Evidence</t>
        </is>
      </c>
      <c r="L12" s="69" t="inlineStr">
        <is>
          <t>Time Taken (sec)</t>
        </is>
      </c>
      <c r="M12" s="26" t="n"/>
    </row>
    <row r="13" ht="93" customHeight="1">
      <c r="B13" s="21" t="n"/>
      <c r="C13" s="65" t="n">
        <v>1</v>
      </c>
      <c r="D13" s="71" t="inlineStr">
        <is>
          <t>Page structure</t>
        </is>
      </c>
      <c r="E13" s="41" t="inlineStr">
        <is>
          <t>Has the correct page template, style sheet and/or structure been used, matching company and project requirements?</t>
        </is>
      </c>
      <c r="F13" s="100" t="inlineStr">
        <is>
          <t>Pass</t>
        </is>
      </c>
      <c r="G13" s="101" t="inlineStr">
        <is>
          <t>Every page uses the same layout: the top bar with Dashboard / Plan / Trends and the account button, then white rounded cards on a light background.</t>
        </is>
      </c>
      <c r="H13" s="102" t="n"/>
      <c r="I13" s="103" t="n"/>
      <c r="J13" s="77" t="n"/>
      <c r="K13" s="102" t="inlineStr">
        <is>
          <t>Compatibility Testing Evidence/safari-dashboard.png</t>
        </is>
      </c>
      <c r="L13" s="104" t="n">
        <v>16.53</v>
      </c>
    </row>
    <row r="14" ht="119" customHeight="1">
      <c r="B14" s="21" t="n"/>
      <c r="C14" s="65" t="n">
        <v>2</v>
      </c>
      <c r="D14" s="71" t="inlineStr">
        <is>
          <t>Page structure</t>
        </is>
      </c>
      <c r="E14" s="45" t="inlineStr">
        <is>
          <t xml:space="preserve">Do page colours and fonts match company branding? </t>
        </is>
      </c>
      <c r="F14" s="100" t="inlineStr">
        <is>
          <t>Pass</t>
        </is>
      </c>
      <c r="G14" s="102" t="inlineStr">
        <is>
          <t>We don't have an official brand guide, so I checked the colours are consistent: the main buttons are the same dark colour on every page and the accent colour (#c0362c, La Trobe red) is used for icons and links.</t>
        </is>
      </c>
      <c r="H14" s="102" t="n"/>
      <c r="I14" s="105" t="n"/>
      <c r="J14" s="105" t="n"/>
      <c r="K14" s="102" t="n"/>
      <c r="L14" s="104" t="n">
        <v>4.41</v>
      </c>
    </row>
    <row r="15" ht="54" customHeight="1">
      <c r="B15" s="21" t="n"/>
      <c r="C15" s="65" t="n">
        <v>3</v>
      </c>
      <c r="D15" s="71" t="inlineStr">
        <is>
          <t>Page structure</t>
        </is>
      </c>
      <c r="E15" s="45" t="inlineStr">
        <is>
          <t>Does the page description (e.g. in the title bar or tab) correctly reflect the page content?</t>
        </is>
      </c>
      <c r="F15" s="100" t="inlineStr">
        <is>
          <t>Pass</t>
        </is>
      </c>
      <c r="G15" s="102" t="inlineStr">
        <is>
          <t>The browser tab says "Learning Journey Assistant" on all 6 pages, which matches the app.</t>
        </is>
      </c>
      <c r="H15" s="102" t="n"/>
      <c r="I15" s="105" t="n"/>
      <c r="J15" s="105" t="n"/>
      <c r="K15" s="102" t="n"/>
      <c r="L15" s="104" t="n">
        <v>10.13</v>
      </c>
    </row>
    <row r="16" ht="106" customHeight="1">
      <c r="B16" s="21" t="n"/>
      <c r="C16" s="65" t="n">
        <v>4</v>
      </c>
      <c r="D16" s="71" t="inlineStr">
        <is>
          <t>Page structure</t>
        </is>
      </c>
      <c r="E16" s="45" t="inlineStr">
        <is>
          <t xml:space="preserve">Have correct and consistent fonts, text sizes and text positions been used, including: 
- Header 
- Menu bar 
- Body/content 
- Input and output fields
- Buttons (e.g. Next/Previous, Submit/Cancel etc.) 
- Footer </t>
        </is>
      </c>
      <c r="F16" s="100" t="inlineStr">
        <is>
          <t>Pass</t>
        </is>
      </c>
      <c r="G16" s="102" t="inlineStr">
        <is>
          <t>The top bar, page text, form fields and buttons all use the same font. Headings are bigger/bolder and small notes are smaller, and nothing overlaps. (There is no footer.)</t>
        </is>
      </c>
      <c r="H16" s="102" t="n"/>
      <c r="I16" s="105" t="n"/>
      <c r="J16" s="105" t="n"/>
      <c r="K16" s="102" t="n"/>
      <c r="L16" s="104" t="n">
        <v>2.03</v>
      </c>
    </row>
    <row r="17" ht="119" customHeight="1">
      <c r="B17" s="21" t="n"/>
      <c r="C17" s="65" t="n">
        <v>5</v>
      </c>
      <c r="D17" s="71" t="inlineStr">
        <is>
          <t>Page structure</t>
        </is>
      </c>
      <c r="E17" s="45" t="inlineStr">
        <is>
          <t>Does the page display correctly across different screen resolutions, including:
- High definition (HD) 
- Recommended display setting (on computer)
- Lowest display setting (on computer)
- Devices (e.g. mobile, tablet, watch)</t>
        </is>
      </c>
      <c r="F17" s="100" t="inlineStr">
        <is>
          <t>Pass</t>
        </is>
      </c>
      <c r="G17" s="102" t="inlineStr">
        <is>
          <t>Checked all 5 pages at 1920x1080 (HD), 1440x900 (recommended on this Mac), 1366x768 and 1024x768 (lowest). On wide screens the dashboard shows two columns, on smaller ones it stacks. No problems.</t>
        </is>
      </c>
      <c r="H17" s="102" t="n"/>
      <c r="I17" s="105" t="n"/>
      <c r="J17" s="105" t="n"/>
      <c r="K17" s="102" t="inlineStr">
        <is>
          <t>Compatibility Testing Evidence/safari-resolution-small.png</t>
        </is>
      </c>
      <c r="L17" s="104" t="n">
        <v>14.95</v>
      </c>
    </row>
    <row r="18" ht="67" customHeight="1">
      <c r="B18" s="21" t="n"/>
      <c r="C18" s="65" t="n">
        <v>6</v>
      </c>
      <c r="D18" s="71" t="inlineStr">
        <is>
          <t>Page structure</t>
        </is>
      </c>
      <c r="E18" s="45" t="inlineStr">
        <is>
          <t>Does the page scroll smoothly without lagging?</t>
        </is>
      </c>
      <c r="F18" s="100" t="inlineStr">
        <is>
          <t>Pass</t>
        </is>
      </c>
      <c r="G18" s="102" t="inlineStr">
        <is>
          <t>Scrolled the dashboard from top to bottom. It was smooth with no lag (about 63 frames per second).</t>
        </is>
      </c>
      <c r="H18" s="102" t="n"/>
      <c r="I18" s="105" t="n"/>
      <c r="J18" s="105" t="n"/>
      <c r="K18" s="102" t="n"/>
      <c r="L18" s="104" t="n">
        <v>3.05</v>
      </c>
    </row>
    <row r="19" ht="67" customHeight="1">
      <c r="B19" s="21" t="n"/>
      <c r="C19" s="65" t="n">
        <v>7</v>
      </c>
      <c r="D19" s="71" t="inlineStr">
        <is>
          <t>Page structure</t>
        </is>
      </c>
      <c r="E19" s="45" t="inlineStr">
        <is>
          <t>Is the page content viewable without the need for a horizontal scroll bar? (horizontal scrolling is generally not recommended/preferred)</t>
        </is>
      </c>
      <c r="F19" s="100" t="inlineStr">
        <is>
          <t>Pass</t>
        </is>
      </c>
      <c r="G19" s="102" t="inlineStr">
        <is>
          <t>No horizontal scroll bar on any of the 7 pages (login, dashboard, outcome, quiz, plan, trends, profile).</t>
        </is>
      </c>
      <c r="H19" s="102" t="n"/>
      <c r="I19" s="105" t="n"/>
      <c r="J19" s="105" t="n"/>
      <c r="K19" s="102" t="n"/>
      <c r="L19" s="104" t="n">
        <v>13.68</v>
      </c>
    </row>
    <row r="20" ht="106" customHeight="1">
      <c r="B20" s="21" t="n"/>
      <c r="C20" s="65" t="n">
        <v>8</v>
      </c>
      <c r="D20" s="71" t="inlineStr">
        <is>
          <t>Page structure</t>
        </is>
      </c>
      <c r="E20" s="45" t="inlineStr">
        <is>
          <t>Do menus function correctly when opened, traversed and activated/clicked, including: 
- Hamburger menu
- Expandable menus
- Collapsible menus
- Drop down "more information" menus (usually available via an ellipsis …)</t>
        </is>
      </c>
      <c r="F20" s="106" t="inlineStr">
        <is>
          <t>Pass</t>
        </is>
      </c>
      <c r="G20" s="102" t="inlineStr">
        <is>
          <t>No hamburger menu. The account menu (round button with my initials) opens on click, closes with Escape or by clicking somewhere else, and "Profile" opens my profile page.</t>
        </is>
      </c>
      <c r="H20" s="102" t="n"/>
      <c r="I20" s="105" t="n"/>
      <c r="J20" s="105" t="n"/>
      <c r="K20" s="102" t="inlineStr">
        <is>
          <t>Compatibility Testing Evidence/safari-account-menu.png</t>
        </is>
      </c>
      <c r="L20" s="104" t="n">
        <v>2.75</v>
      </c>
    </row>
    <row r="21" ht="80" customHeight="1">
      <c r="B21" s="21" t="n"/>
      <c r="C21" s="65" t="n">
        <v>9</v>
      </c>
      <c r="D21" s="71" t="inlineStr">
        <is>
          <t>Page structure</t>
        </is>
      </c>
      <c r="E21" s="45" t="inlineStr">
        <is>
          <t>Does the page view correctly when using zoom in and out?</t>
        </is>
      </c>
      <c r="F21" s="106" t="inlineStr">
        <is>
          <t>Pass</t>
        </is>
      </c>
      <c r="G21" s="102" t="inlineStr">
        <is>
          <t>Zoomed the dashboard and an outcome page in to 200% and out to 50%. The text and mastery bars resized and nothing went off the screen.</t>
        </is>
      </c>
      <c r="H21" s="102" t="n"/>
      <c r="I21" s="105" t="n"/>
      <c r="J21" s="105" t="n"/>
      <c r="K21" s="102" t="inlineStr">
        <is>
          <t>Compatibility Testing Evidence/safari-zoom-200.png</t>
        </is>
      </c>
      <c r="L21" s="104" t="n">
        <v>6.28</v>
      </c>
    </row>
    <row r="22" ht="106" customHeight="1">
      <c r="B22" s="21" t="n"/>
      <c r="C22" s="65" t="n">
        <v>10</v>
      </c>
      <c r="D22" s="71" t="inlineStr">
        <is>
          <t>Page structure</t>
        </is>
      </c>
      <c r="E22" s="45" t="inlineStr">
        <is>
          <t>When JavaScript is turned off, do understandable error messages appear explaining that JavaScript must be enabled to display required content, without any scripts being displayed to on the screen?</t>
        </is>
      </c>
      <c r="F22" s="106" t="inlineStr">
        <is>
          <t>Pass</t>
        </is>
      </c>
      <c r="G22" s="102" t="inlineStr">
        <is>
          <t>I turned JavaScript off. The page shows a clear message: "Please enable JavaScript in your browser to use the Learning Journey Assistant, then reload the page." No code is shown on screen.</t>
        </is>
      </c>
      <c r="H22" s="102" t="n"/>
      <c r="I22" s="105" t="n"/>
      <c r="J22" s="105" t="n"/>
      <c r="K22" s="102" t="inlineStr">
        <is>
          <t>Compatibility Testing Evidence/safari-javascript-off.png</t>
        </is>
      </c>
      <c r="L22" s="104" t="n">
        <v>1.71</v>
      </c>
    </row>
    <row r="23" ht="106" customHeight="1">
      <c r="B23" s="21" t="n"/>
      <c r="C23" s="65" t="n">
        <v>11</v>
      </c>
      <c r="D23" s="54" t="inlineStr">
        <is>
          <t>Images</t>
        </is>
      </c>
      <c r="E23" s="45" t="inlineStr">
        <is>
          <t>Are images displayed correctly, including: 
- Position on the page (alignment, not overlapping fields, content or edge of screen)
- Rendering 
- Resolution
- Background (e.g. transparent)
- Lazy loading (load on scroll)
- No distortion (i.e. correct aspect ratio)
- No broken links</t>
        </is>
      </c>
      <c r="F23" s="106" t="inlineStr">
        <is>
          <t>Pass</t>
        </is>
      </c>
      <c r="G23" s="102" t="inlineStr">
        <is>
          <t>Our app has no photos or pictures - only small line icons (e.g. the target, lightbulb and arrow icons). They all showed at the right size and position, sharp and not stretched, on every page.</t>
        </is>
      </c>
      <c r="H23" s="102" t="n"/>
      <c r="I23" s="105" t="n"/>
      <c r="J23" s="105" t="n"/>
      <c r="K23" s="102" t="n"/>
      <c r="L23" s="104" t="n">
        <v>9.81</v>
      </c>
    </row>
    <row r="24" ht="54" customHeight="1">
      <c r="B24" s="21" t="n"/>
      <c r="C24" s="65" t="n">
        <v>12</v>
      </c>
      <c r="D24" s="54" t="inlineStr">
        <is>
          <t>Images</t>
        </is>
      </c>
      <c r="E24" s="45" t="inlineStr">
        <is>
          <t>Are images suitable for the given content and context?</t>
        </is>
      </c>
      <c r="F24" s="106" t="inlineStr">
        <is>
          <t>Not applicable</t>
        </is>
      </c>
      <c r="G24" s="102" t="inlineStr">
        <is>
          <t>No photos or pictures in the app, only small icons that match their labels.</t>
        </is>
      </c>
      <c r="H24" s="102" t="n"/>
      <c r="I24" s="105" t="n"/>
      <c r="J24" s="105" t="n"/>
      <c r="K24" s="102" t="n"/>
      <c r="L24" s="104" t="n"/>
    </row>
    <row r="25" ht="184" customHeight="1">
      <c r="B25" s="21" t="n"/>
      <c r="C25" s="65" t="n">
        <v>13</v>
      </c>
      <c r="D25" s="54" t="inlineStr">
        <is>
          <t>Images</t>
        </is>
      </c>
      <c r="E25" s="45" t="inlineStr">
        <is>
          <t xml:space="preserve">Do images include suitable alternative text? </t>
        </is>
      </c>
      <c r="F25" s="106" t="inlineStr">
        <is>
          <t>Pass</t>
        </is>
      </c>
      <c r="G25" s="102" t="inlineStr">
        <is>
          <t>There are no photos that need alt text. The decorative icons are hidden from screen readers, icon-only buttons (like the back arrow and account menu) have a label, and the trend chart has a title and a text description of its values. (This failed in my first test run - see DEF-01. After the fix I retested it and it passed.)</t>
        </is>
      </c>
      <c r="H25" s="102" t="inlineStr">
        <is>
          <t>DEF-01</t>
        </is>
      </c>
      <c r="I25" s="105" t="inlineStr">
        <is>
          <t>Minor</t>
        </is>
      </c>
      <c r="J25" s="105" t="inlineStr">
        <is>
          <t>The mastery trend chart (Trends page) has no text alternative: the chart graphic has no title/description, so screen readers can't tell what it shows. Fix: give the chart a title and a text description of its values. Fixed: the chart now has a title and a text description of its values. Retested 07/10/2026: Pass.</t>
        </is>
      </c>
      <c r="K25" s="102" t="inlineStr">
        <is>
          <t>Before fix: Compatibility Testing Evidence/first-run/safari-trends.png</t>
        </is>
      </c>
      <c r="L25" s="104" t="n">
        <v>9.66</v>
      </c>
    </row>
    <row r="26" ht="54" customHeight="1">
      <c r="B26" s="21" t="n"/>
      <c r="C26" s="65" t="n">
        <v>14</v>
      </c>
      <c r="D26" s="54" t="inlineStr">
        <is>
          <t>Images</t>
        </is>
      </c>
      <c r="E26" s="45" t="inlineStr">
        <is>
          <t>Do clickable images navigate to the correct location?</t>
        </is>
      </c>
      <c r="F26" s="106" t="inlineStr">
        <is>
          <t>Not applicable</t>
        </is>
      </c>
      <c r="G26" s="102" t="inlineStr">
        <is>
          <t>No clickable images. (The account button shows my initials as text, it's checked in test 8.)</t>
        </is>
      </c>
      <c r="H26" s="102" t="n"/>
      <c r="I26" s="105" t="n"/>
      <c r="J26" s="105" t="n"/>
      <c r="K26" s="102" t="n"/>
      <c r="L26" s="104" t="n"/>
    </row>
    <row r="27" ht="54" customHeight="1">
      <c r="B27" s="21" t="n"/>
      <c r="C27" s="65" t="n">
        <v>15</v>
      </c>
      <c r="D27" s="54" t="inlineStr">
        <is>
          <t>Images</t>
        </is>
      </c>
      <c r="E27" s="45" t="inlineStr">
        <is>
          <t xml:space="preserve">Do images display correctly when screen is zoomed in and out? </t>
        </is>
      </c>
      <c r="F27" s="106" t="inlineStr">
        <is>
          <t>Not applicable</t>
        </is>
      </c>
      <c r="G27" s="102" t="inlineStr">
        <is>
          <t>No images. Icons and the rest of the page were checked at 200% and 50% zoom in test 9.</t>
        </is>
      </c>
      <c r="H27" s="102" t="n"/>
      <c r="I27" s="105" t="n"/>
      <c r="J27" s="105" t="n"/>
      <c r="K27" s="102" t="n"/>
      <c r="L27" s="104" t="n"/>
    </row>
    <row r="28" ht="54" customHeight="1">
      <c r="B28" s="21" t="n"/>
      <c r="C28" s="65" t="n">
        <v>16</v>
      </c>
      <c r="D28" s="54" t="inlineStr">
        <is>
          <t>Images</t>
        </is>
      </c>
      <c r="E28" s="45" t="inlineStr">
        <is>
          <t>Do animated behaviours display correctly (e.g. Giff)</t>
        </is>
      </c>
      <c r="F28" s="106" t="inlineStr">
        <is>
          <t>Not applicable</t>
        </is>
      </c>
      <c r="G28" s="102" t="inlineStr">
        <is>
          <t>No GIFs or animations, apart from a small spinning icon while something loads.</t>
        </is>
      </c>
      <c r="H28" s="102" t="n"/>
      <c r="I28" s="105" t="n"/>
      <c r="J28" s="105" t="n"/>
      <c r="K28" s="102" t="n"/>
      <c r="L28" s="104" t="n"/>
    </row>
    <row r="29" ht="28" customHeight="1">
      <c r="B29" s="21" t="n"/>
      <c r="C29" s="65" t="n">
        <v>17</v>
      </c>
      <c r="D29" s="72" t="inlineStr">
        <is>
          <t>Videos</t>
        </is>
      </c>
      <c r="E29" s="45" t="inlineStr">
        <is>
          <t xml:space="preserve">Are videos displayed, positioned and rendered correctly on the page, with the correct thumbnails? </t>
        </is>
      </c>
      <c r="F29" s="106" t="inlineStr">
        <is>
          <t>Not applicable</t>
        </is>
      </c>
      <c r="G29" s="102" t="inlineStr">
        <is>
          <t>The app doesn't have any videos.</t>
        </is>
      </c>
      <c r="H29" s="102" t="n"/>
      <c r="I29" s="105" t="n"/>
      <c r="J29" s="105" t="n"/>
      <c r="K29" s="102" t="n"/>
      <c r="L29" s="104" t="n"/>
    </row>
    <row r="30" ht="63.7" customHeight="1">
      <c r="B30" s="21" t="n"/>
      <c r="C30" s="65" t="n">
        <v>18</v>
      </c>
      <c r="D30" s="72" t="inlineStr">
        <is>
          <t>Videos</t>
        </is>
      </c>
      <c r="E30" s="45" t="inlineStr">
        <is>
          <t>Do videos play correctly, including (where required):
- Auto play
- Click to play 
- Tap to play
- Picture in picture (PiP)</t>
        </is>
      </c>
      <c r="F30" s="106" t="inlineStr">
        <is>
          <t>Not applicable</t>
        </is>
      </c>
      <c r="G30" s="102" t="inlineStr">
        <is>
          <t>The app doesn't have any videos.</t>
        </is>
      </c>
      <c r="H30" s="102" t="n"/>
      <c r="I30" s="105" t="n"/>
      <c r="J30" s="105" t="n"/>
      <c r="K30" s="102" t="n"/>
      <c r="L30" s="104" t="n"/>
    </row>
    <row r="31" ht="28" customHeight="1">
      <c r="B31" s="21" t="n"/>
      <c r="C31" s="65" t="n">
        <v>19</v>
      </c>
      <c r="D31" s="72" t="inlineStr">
        <is>
          <t>Videos</t>
        </is>
      </c>
      <c r="E31" s="45" t="inlineStr">
        <is>
          <t>Do videos display with the correct defaults (e.g. auto-play, display inline or full screen)</t>
        </is>
      </c>
      <c r="F31" s="106" t="inlineStr">
        <is>
          <t>Not applicable</t>
        </is>
      </c>
      <c r="G31" s="102" t="inlineStr">
        <is>
          <t>The app doesn't have any videos.</t>
        </is>
      </c>
      <c r="H31" s="102" t="n"/>
      <c r="I31" s="105" t="n"/>
      <c r="J31" s="105" t="n"/>
      <c r="K31" s="102" t="n"/>
      <c r="L31" s="104" t="n"/>
    </row>
    <row r="32" ht="50.95" customHeight="1">
      <c r="B32" s="21" t="n"/>
      <c r="C32" s="65" t="n">
        <v>20</v>
      </c>
      <c r="D32" s="72" t="inlineStr">
        <is>
          <t>Videos</t>
        </is>
      </c>
      <c r="E32" s="45" t="inlineStr">
        <is>
          <t>Do all videos display suitable captions, including:
- Captions that match the video content
- Language preferences
- Location on screen</t>
        </is>
      </c>
      <c r="F32" s="106" t="inlineStr">
        <is>
          <t>Not applicable</t>
        </is>
      </c>
      <c r="G32" s="102" t="inlineStr">
        <is>
          <t>The app doesn't have any videos.</t>
        </is>
      </c>
      <c r="H32" s="102" t="n"/>
      <c r="I32" s="105" t="n"/>
      <c r="J32" s="105" t="n"/>
      <c r="K32" s="102" t="n"/>
      <c r="L32" s="104" t="n"/>
    </row>
    <row r="33" ht="50.95" customHeight="1">
      <c r="B33" s="21" t="n"/>
      <c r="C33" s="65" t="n">
        <v>21</v>
      </c>
      <c r="D33" s="72" t="inlineStr">
        <is>
          <t>Videos</t>
        </is>
      </c>
      <c r="E33" s="45" t="inlineStr">
        <is>
          <t>Can videos be moved to:
- Full screen mode 
- Embedded/inline mode
- Press escape from full-screen mode to revert back to inline mode</t>
        </is>
      </c>
      <c r="F33" s="106" t="inlineStr">
        <is>
          <t>Not applicable</t>
        </is>
      </c>
      <c r="G33" s="102" t="inlineStr">
        <is>
          <t>The app doesn't have any videos.</t>
        </is>
      </c>
      <c r="H33" s="102" t="n"/>
      <c r="I33" s="105" t="n"/>
      <c r="J33" s="105" t="n"/>
      <c r="K33" s="102" t="n"/>
      <c r="L33" s="104" t="n"/>
    </row>
    <row r="34" ht="114.65" customHeight="1">
      <c r="B34" s="21" t="n"/>
      <c r="C34" s="65" t="n">
        <v>22</v>
      </c>
      <c r="D34" s="72" t="inlineStr">
        <is>
          <t>Videos</t>
        </is>
      </c>
      <c r="E34" s="45" t="inlineStr">
        <is>
          <t>Do video controls work, including: 
- Play, pause, stop
- Fast forward and rewind (including skip X seconds forward/back)
- Volume 
- Mute/unmute 
- Playback speed (e.g. 0.5x, 1.5x, 2x)
- Resume from last position 
- Download / long-press
- Streaming vs. offline view</t>
        </is>
      </c>
      <c r="F34" s="106" t="inlineStr">
        <is>
          <t>Not applicable</t>
        </is>
      </c>
      <c r="G34" s="102" t="inlineStr">
        <is>
          <t>The app doesn't have any videos.</t>
        </is>
      </c>
      <c r="H34" s="102" t="n"/>
      <c r="I34" s="105" t="n"/>
      <c r="J34" s="105" t="n"/>
      <c r="K34" s="102" t="n"/>
      <c r="L34" s="104" t="n"/>
    </row>
    <row r="35" ht="93" customHeight="1">
      <c r="B35" s="21" t="n"/>
      <c r="C35" s="65" t="n">
        <v>23</v>
      </c>
      <c r="D35" s="51" t="inlineStr">
        <is>
          <t>Forms</t>
        </is>
      </c>
      <c r="E35" s="41" t="inlineStr">
        <is>
          <t xml:space="preserve">Are all required fields visible on the form? </t>
        </is>
      </c>
      <c r="F35" s="106" t="inlineStr">
        <is>
          <t>Pass</t>
        </is>
      </c>
      <c r="G35" s="102" t="inlineStr">
        <is>
          <t>Login form: Student email, Password and Sign in are all visible. The "Commit to a next step" box on the outcome page shows its text field and "Add to my plan" button.</t>
        </is>
      </c>
      <c r="H35" s="102" t="n"/>
      <c r="I35" s="105" t="n"/>
      <c r="J35" s="105" t="n"/>
      <c r="K35" s="102" t="inlineStr">
        <is>
          <t>Compatibility Testing Evidence/safari-login.png</t>
        </is>
      </c>
      <c r="L35" s="104" t="n">
        <v>4.54</v>
      </c>
    </row>
    <row r="36" ht="178.35" customHeight="1">
      <c r="B36" s="21" t="n"/>
      <c r="C36" s="65" t="n">
        <v>24</v>
      </c>
      <c r="D36" s="52" t="inlineStr">
        <is>
          <t>Forms</t>
        </is>
      </c>
      <c r="E36" s="49" t="inlineStr">
        <is>
          <t>Are all form fields positioned within the boundaries of the form, and not overlapping or truncating, including:
- Labels
- Single line textboxes
- Multi-line textboxes
- Dropdown lists
- Radio buttons
- Checkboxes 
- Date pickers
- Tables 
- Grids 
- Menus and submenus 
- Images
- Drag and drop</t>
        </is>
      </c>
      <c r="F36" s="106" t="inlineStr">
        <is>
          <t>Pass</t>
        </is>
      </c>
      <c r="G36" s="102" t="inlineStr">
        <is>
          <t>On the login form the labels, the two text boxes and the button all sit inside the white box. The reflection text box and its button don't overlap either. Nothing is cut off.</t>
        </is>
      </c>
      <c r="H36" s="102" t="n"/>
      <c r="I36" s="105" t="n"/>
      <c r="J36" s="105" t="n"/>
      <c r="K36" s="102" t="n"/>
      <c r="L36" s="104" t="n">
        <v>4.07</v>
      </c>
    </row>
    <row r="37" ht="127.4" customHeight="1">
      <c r="B37" s="21" t="n"/>
      <c r="C37" s="65" t="n">
        <v>25</v>
      </c>
      <c r="D37" s="52" t="inlineStr">
        <is>
          <t>Forms</t>
        </is>
      </c>
      <c r="E37" s="49" t="inlineStr">
        <is>
          <t>Does tool tip text display correctly for each field, including:
- Single line textboxes
- Multi-line textboxes
- Dropdown lists
- Radio buttons
- Checkboxes 
- Date pickers
- Tables 
- Grids 
- Drag and drop</t>
        </is>
      </c>
      <c r="F37" s="106" t="inlineStr">
        <is>
          <t>Not applicable</t>
        </is>
      </c>
      <c r="G37" s="102" t="inlineStr">
        <is>
          <t>Our form fields don't have tooltips. Each field has a label above it instead ("Student email", "Password").</t>
        </is>
      </c>
      <c r="H37" s="102" t="n"/>
      <c r="I37" s="105" t="n"/>
      <c r="J37" s="105" t="n"/>
      <c r="K37" s="102" t="n"/>
      <c r="L37" s="104" t="n"/>
    </row>
    <row r="38" ht="158" customHeight="1">
      <c r="B38" s="21" t="n"/>
      <c r="C38" s="65" t="n">
        <v>26</v>
      </c>
      <c r="D38" s="52" t="inlineStr">
        <is>
          <t>Forms</t>
        </is>
      </c>
      <c r="E38" s="49" t="inlineStr">
        <is>
          <t>Can data be input into each field correctly, including:
- Single line textboxes
- Multi-line textboxes
- Dropdown lists
- Radio buttons
- Checkboxes 
- Date pickers
- Tables 
- Grids 
- Drag and drop
- Copy/paste</t>
        </is>
      </c>
      <c r="F38" s="106" t="inlineStr">
        <is>
          <t>Pass</t>
        </is>
      </c>
      <c r="G38" s="102" t="inlineStr">
        <is>
          <t>Typed letters, numbers and symbols into the email, password and reflection boxes, and picked an answer (radio button) in the quiz. Everything was accepted, and the password showed as dots. (Didn't test copy/paste because browsers block copying out of password boxes.)</t>
        </is>
      </c>
      <c r="H38" s="102" t="n"/>
      <c r="I38" s="105" t="n"/>
      <c r="J38" s="105" t="n"/>
      <c r="K38" s="102" t="n"/>
      <c r="L38" s="104" t="n">
        <v>8.48</v>
      </c>
    </row>
    <row r="39" ht="132" customHeight="1">
      <c r="B39" s="21" t="n"/>
      <c r="C39" s="65" t="n">
        <v>27</v>
      </c>
      <c r="D39" s="52" t="inlineStr">
        <is>
          <t>Forms</t>
        </is>
      </c>
      <c r="E39" s="49" t="inlineStr">
        <is>
          <t xml:space="preserve">When invalid/negative data is input into a field: 
- Are understandable error messages displayed? 
- Are error messages displayed at the right time (e.g. when focus leaves the field, or on save)?
- Are error messages positioned in the correct location?
- Are error validation icons (e.g. ticks, crosses) displayed in the correct location, colour and format? </t>
        </is>
      </c>
      <c r="F39" s="106" t="inlineStr">
        <is>
          <t>Pass</t>
        </is>
      </c>
      <c r="G39" s="102" t="inlineStr">
        <is>
          <t>Empty email: the browser said "Fill out this field". Email without @: "Enter an email address". Wrong password: a red message "Incorrect email or password." appeared above the Sign in button straight after I clicked it.</t>
        </is>
      </c>
      <c r="H39" s="102" t="n"/>
      <c r="I39" s="105" t="n"/>
      <c r="J39" s="105" t="n"/>
      <c r="K39" s="102" t="inlineStr">
        <is>
          <t>Compatibility Testing Evidence/safari-invalid-login.png</t>
        </is>
      </c>
      <c r="L39" s="104" t="n">
        <v>1.49</v>
      </c>
    </row>
    <row r="40" ht="145" customHeight="1">
      <c r="B40" s="21" t="n"/>
      <c r="C40" s="65" t="n">
        <v>28</v>
      </c>
      <c r="D40" s="52" t="inlineStr">
        <is>
          <t>Forms</t>
        </is>
      </c>
      <c r="E40" s="49" t="inlineStr">
        <is>
          <t xml:space="preserve">When placeholder text is included in each form field, is the text: 
- Visible 
- Understandable
- Rendered in the correct colour (i.e. to differentiate from user inputs) </t>
        </is>
      </c>
      <c r="F40" s="106" t="inlineStr">
        <is>
          <t>Pass</t>
        </is>
      </c>
      <c r="G40" s="102" t="inlineStr">
        <is>
          <t>The reflection box shows the placeholder "What will you do differently for this outcome?" in grey, which is easy to understand and looks different from the text I type (black). The login boxes start with no placeholder (the email is filled in).</t>
        </is>
      </c>
      <c r="H40" s="102" t="n"/>
      <c r="I40" s="105" t="n"/>
      <c r="J40" s="105" t="n"/>
      <c r="K40" s="102" t="inlineStr">
        <is>
          <t>Compatibility Testing Evidence/safari-outcome-lo4.png</t>
        </is>
      </c>
      <c r="L40" s="104" t="n">
        <v>3.89</v>
      </c>
    </row>
    <row r="41" ht="93" customHeight="1">
      <c r="B41" s="21" t="n"/>
      <c r="C41" s="65" t="n">
        <v>29</v>
      </c>
      <c r="D41" s="52" t="inlineStr">
        <is>
          <t>Forms</t>
        </is>
      </c>
      <c r="E41" s="49" t="inlineStr">
        <is>
          <t>Do form fields auto-complete correctly, using data previously saved by the browser?</t>
        </is>
      </c>
      <c r="F41" s="106" t="inlineStr">
        <is>
          <t>Not run</t>
        </is>
      </c>
      <c r="G41" s="102" t="inlineStr">
        <is>
          <t>The login boxes are set up for autofill (autocomplete="username" and "current-password"), but the test browser has no saved passwords so I couldn't try it.</t>
        </is>
      </c>
      <c r="H41" s="102" t="n"/>
      <c r="I41" s="105" t="n"/>
      <c r="J41" s="105" t="n"/>
      <c r="K41" s="102" t="n"/>
      <c r="L41" s="104" t="n"/>
    </row>
    <row r="42" ht="171" customHeight="1">
      <c r="A42" s="21" t="n"/>
      <c r="B42" s="21" t="n"/>
      <c r="C42" s="65" t="n">
        <v>30</v>
      </c>
      <c r="D42" s="53" t="inlineStr">
        <is>
          <t>Forms</t>
        </is>
      </c>
      <c r="E42" s="45" t="inlineStr">
        <is>
          <t xml:space="preserve">When the user submits a form (e.g. by clicking Save, Submit or OK):
- Is a visual indicator displayed to indicate that the form is saving (e.g. spinning wheel or progress bar)?
- After the form is saved/submitted, does an appropriate success message appear?
- Is the success message in the correct location, format and colour? </t>
        </is>
      </c>
      <c r="F42" s="100" t="inlineStr">
        <is>
          <t>Pass</t>
        </is>
      </c>
      <c r="G42" s="102" t="inlineStr">
        <is>
          <t>Login: the button changes to "Signing in…" and then the dashboard opens. Reflection: after "Add to my plan" it shows "Saved to your learning plan". Quiz: after the last answer it says "Scoring..." and then "Quiz complete" with my result. AI study plan: the button says "Generating..." and then my plan appears.</t>
        </is>
      </c>
      <c r="H42" s="102" t="n"/>
      <c r="I42" s="105" t="n"/>
      <c r="J42" s="105" t="n"/>
      <c r="K42" s="102" t="inlineStr">
        <is>
          <t>Compatibility Testing Evidence/safari-quiz-results.png</t>
        </is>
      </c>
      <c r="L42" s="104" t="n">
        <v>16.32</v>
      </c>
    </row>
    <row r="43" ht="119" customFormat="1" customHeight="1" s="5">
      <c r="A43" s="28" t="n"/>
      <c r="B43" s="21" t="n"/>
      <c r="C43" s="65" t="n">
        <v>31</v>
      </c>
      <c r="D43" s="73" t="inlineStr">
        <is>
          <t>Interactions</t>
        </is>
      </c>
      <c r="E43" s="45" t="inlineStr">
        <is>
          <t>Do mouse inputs work correctly, including:
- Hover over (e.g. display tool tip text)
- Right mouse button click 
- Left mouse button click 
- Scroll wheel 
- Programmable mouse buttons
- Any other mouse buttons</t>
        </is>
      </c>
      <c r="F43" s="100" t="inlineStr">
        <is>
          <t>Pass</t>
        </is>
      </c>
      <c r="G43" s="102" t="inlineStr">
        <is>
          <t>Hovering over the Plan / Trends links makes them darker, and buttons and cards change shade on hover. Left click works everywhere, the scroll wheel scrolls the page and right click opens the normal browser menu.</t>
        </is>
      </c>
      <c r="H43" s="102" t="n"/>
      <c r="I43" s="77" t="n"/>
      <c r="J43" s="77" t="n"/>
      <c r="K43" s="102" t="n"/>
      <c r="L43" s="104" t="n">
        <v>4.48</v>
      </c>
      <c r="M43" s="28" t="n"/>
    </row>
    <row r="44" ht="106" customFormat="1" customHeight="1" s="5">
      <c r="A44" s="28" t="n"/>
      <c r="B44" s="21" t="n"/>
      <c r="C44" s="65" t="n">
        <v>32</v>
      </c>
      <c r="D44" s="73" t="inlineStr">
        <is>
          <t>Interactions</t>
        </is>
      </c>
      <c r="E44" s="45" t="inlineStr">
        <is>
          <t>Do keyboard inputs work correctly, including:
- Letters
- Numbers
- Symbols
- Function keys (F1 to F12)
- Control keys (e.g. escape, control, command (Apple Mac) alt, shift, tab, print screen, enter, shift lock, num lock, etc.)
- Navigation keys (arrow keys, home, end, page up, page down)</t>
        </is>
      </c>
      <c r="F44" s="100" t="inlineStr">
        <is>
          <t>Pass</t>
        </is>
      </c>
      <c r="G44" s="102" t="inlineStr">
        <is>
          <t>Typed my email, Option+Tab (Safari) moved to the password box, letters, numbers and symbols worked, Backspace worked and Enter logged me in. Function keys aren't used by the app.</t>
        </is>
      </c>
      <c r="H44" s="102" t="n"/>
      <c r="I44" s="77" t="n"/>
      <c r="J44" s="77" t="n"/>
      <c r="K44" s="102" t="n"/>
      <c r="L44" s="104" t="n">
        <v>1.94</v>
      </c>
      <c r="M44" s="28" t="n"/>
    </row>
    <row r="45" ht="191.1" customFormat="1" customHeight="1" s="5">
      <c r="A45" s="28" t="n"/>
      <c r="B45" s="21" t="n"/>
      <c r="C45" s="65" t="n">
        <v>33</v>
      </c>
      <c r="D45" s="73" t="inlineStr">
        <is>
          <t>Interactions</t>
        </is>
      </c>
      <c r="E45" s="45" t="inlineStr">
        <is>
          <t>Do touchscreen and mobile inputs work correctly, including: 
- Tap
- Double tap
- Multi-touch
- Long press / tap-and-hold
- Swipe
- Scroll 
- Two-finger scroll
- Pinch (zoom in) and spread (zoom out)
- Rotate screen 
- Back navigation (e.g. back button or swipe)
- Forward navigation (e.g. swipe)
- System gestures (e.g. swipe up from bottom of screen)
- Stylus based input
- Voice input</t>
        </is>
      </c>
      <c r="F45" s="100" t="inlineStr">
        <is>
          <t>Not applicable</t>
        </is>
      </c>
      <c r="G45" s="102" t="inlineStr">
        <is>
          <t>This laptop has no touchscreen. Touch is tested on the iPhone and Android sheets.</t>
        </is>
      </c>
      <c r="H45" s="102" t="n"/>
      <c r="I45" s="77" t="n"/>
      <c r="J45" s="77" t="n"/>
      <c r="K45" s="102" t="n"/>
      <c r="L45" s="104" t="n"/>
      <c r="M45" s="28" t="n"/>
    </row>
    <row r="46" ht="101.95" customFormat="1" customHeight="1" s="5">
      <c r="A46" s="28" t="n"/>
      <c r="B46" s="21" t="n"/>
      <c r="C46" s="65" t="n">
        <v>34</v>
      </c>
      <c r="D46" s="73" t="inlineStr">
        <is>
          <t>Interactions</t>
        </is>
      </c>
      <c r="E46" s="45" t="inlineStr">
        <is>
          <t>Do smartwatch inputs work correctly, including: 
- Tap
- Swipe
- Long press (including on text, links, images and video)
- Button press
- Double button press
- Hard press 
- Voice input</t>
        </is>
      </c>
      <c r="F46" s="100" t="inlineStr">
        <is>
          <t>Not applicable</t>
        </is>
      </c>
      <c r="G46" s="102" t="inlineStr">
        <is>
          <t>The app isn't made for smartwatches.</t>
        </is>
      </c>
      <c r="H46" s="102" t="n"/>
      <c r="I46" s="77" t="n"/>
      <c r="J46" s="77" t="n"/>
      <c r="K46" s="102" t="n"/>
      <c r="L46" s="104" t="n"/>
      <c r="M46" s="28" t="n"/>
    </row>
    <row r="47" ht="331.2" customFormat="1" customHeight="1" s="5">
      <c r="A47" s="28" t="n"/>
      <c r="B47" s="21" t="n"/>
      <c r="C47" s="65" t="n">
        <v>35</v>
      </c>
      <c r="D47" s="73" t="inlineStr">
        <is>
          <t>Interactions</t>
        </is>
      </c>
      <c r="E47" s="45" t="inlineStr">
        <is>
          <t>Do joystick inputs work correctly, including: 
- Buttons
       * Primary buttons (e.g. A, B, X, Y)
       * Select/confirm button (enter equivalent)
       * Cancel/back (escape equivalent)
       * Context actions (e.g. shortcuts)
       * Shoulder/trigger buttons (L1, L2, R1, R2)
       * Paging (scroll between sections)
       * Secondary actions (e.g. zoom, rotate)
       * Start button
       * Menu button 
- Directions  
        * Up, down, left, right, diagonal (navigating menus, moving focus)
        * Continuous hold vs. single press (scroll vs. step)
- Analog behaviour
       * Dead zone testing (ensuring slight nudges do not move focus unintentionally)
       * Sensitivity testing (slow vs. fast movements)
       * Left and right sticks 
       * Circular movement 
- Gestures &amp; special inputs - e.g. 
       * Long press buttons 
       * Double-tap buttons 
       * Combination presses (e.g. L1 + R1 = action A)
- System inputs 
       * Home/dashboard button (does app handle pausing/losing focus gracefully?)
       * Power button interactions (suspend, resume)</t>
        </is>
      </c>
      <c r="F47" s="100" t="inlineStr">
        <is>
          <t>Not applicable</t>
        </is>
      </c>
      <c r="G47" s="102" t="inlineStr">
        <is>
          <t>The app isn't made for game controllers / joysticks.</t>
        </is>
      </c>
      <c r="H47" s="102" t="n"/>
      <c r="I47" s="77" t="n"/>
      <c r="J47" s="77" t="n"/>
      <c r="K47" s="102" t="n"/>
      <c r="L47" s="104" t="n"/>
      <c r="M47" s="28" t="n"/>
    </row>
    <row r="48" ht="28" customHeight="1">
      <c r="B48" s="21" t="n"/>
      <c r="C48" s="65" t="n">
        <v>36</v>
      </c>
      <c r="D48" s="64" t="inlineStr">
        <is>
          <t>File download</t>
        </is>
      </c>
      <c r="E48" s="41" t="inlineStr">
        <is>
          <t>Can files be downloaded correctly, including all supported file types, and for max file sizes?</t>
        </is>
      </c>
      <c r="F48" s="100" t="inlineStr">
        <is>
          <t>Not applicable</t>
        </is>
      </c>
      <c r="G48" s="102" t="inlineStr">
        <is>
          <t>The app doesn't have any file downloads.</t>
        </is>
      </c>
      <c r="H48" s="102" t="n"/>
      <c r="I48" s="105" t="n"/>
      <c r="J48" s="105" t="n"/>
      <c r="K48" s="102" t="n"/>
      <c r="L48" s="104" t="n"/>
    </row>
    <row r="49" ht="63.7" customHeight="1">
      <c r="B49" s="21" t="n"/>
      <c r="C49" s="65" t="n">
        <v>37</v>
      </c>
      <c r="D49" s="64" t="inlineStr">
        <is>
          <t>File download</t>
        </is>
      </c>
      <c r="E49" s="41" t="inlineStr">
        <is>
          <t>For each downloaded file: 
- Does the downloaded file open on the given device? 
- Are the file format, layout, fonts and styles correct?
- Is there no text overlapping or truncating?
- Are images displayed correctly?</t>
        </is>
      </c>
      <c r="F49" s="100" t="inlineStr">
        <is>
          <t>Not applicable</t>
        </is>
      </c>
      <c r="G49" s="102" t="inlineStr">
        <is>
          <t>The app doesn't have any file downloads.</t>
        </is>
      </c>
      <c r="H49" s="102" t="n"/>
      <c r="I49" s="105" t="n"/>
      <c r="J49" s="105" t="n"/>
      <c r="K49" s="102" t="n"/>
      <c r="L49" s="104" t="n"/>
    </row>
    <row r="50" ht="28" customFormat="1" customHeight="1" s="5">
      <c r="A50" s="28" t="n"/>
      <c r="B50" s="21" t="n"/>
      <c r="C50" s="65" t="n">
        <v>38</v>
      </c>
      <c r="D50" s="64" t="inlineStr">
        <is>
          <t>File download</t>
        </is>
      </c>
      <c r="E50" s="41" t="inlineStr">
        <is>
          <t>Is there a visual indicator displayed during the download process, so the user understands that a download is in progress (e.g. spinning wheel or progress bar)?</t>
        </is>
      </c>
      <c r="F50" s="100" t="inlineStr">
        <is>
          <t>Not applicable</t>
        </is>
      </c>
      <c r="G50" s="102" t="inlineStr">
        <is>
          <t>The app doesn't have any file downloads.</t>
        </is>
      </c>
      <c r="H50" s="102" t="n"/>
      <c r="I50" s="107" t="n"/>
      <c r="J50" s="77" t="n"/>
      <c r="K50" s="102" t="n"/>
      <c r="L50" s="104" t="n"/>
      <c r="M50" s="28" t="n"/>
    </row>
    <row r="51" ht="28" customFormat="1" customHeight="1" s="5">
      <c r="A51" s="28" t="n"/>
      <c r="B51" s="21" t="n"/>
      <c r="C51" s="65" t="n">
        <v>39</v>
      </c>
      <c r="D51" s="74" t="inlineStr">
        <is>
          <t>File upload</t>
        </is>
      </c>
      <c r="E51" s="41" t="inlineStr">
        <is>
          <t>Can files can uploaded successfully, across all supported file formats, including maximum file sizes?</t>
        </is>
      </c>
      <c r="F51" s="100" t="inlineStr">
        <is>
          <t>Not applicable</t>
        </is>
      </c>
      <c r="G51" s="102" t="inlineStr">
        <is>
          <t>The app doesn't have any file uploads.</t>
        </is>
      </c>
      <c r="H51" s="102" t="n"/>
      <c r="I51" s="107" t="n"/>
      <c r="J51" s="77" t="n"/>
      <c r="K51" s="102" t="n"/>
      <c r="L51" s="104" t="n"/>
      <c r="M51" s="28" t="n"/>
    </row>
    <row r="52" ht="28" customFormat="1" customHeight="1" s="5">
      <c r="A52" s="28" t="n"/>
      <c r="B52" s="21" t="n"/>
      <c r="C52" s="65" t="n">
        <v>40</v>
      </c>
      <c r="D52" s="74" t="inlineStr">
        <is>
          <t>File upload</t>
        </is>
      </c>
      <c r="E52" s="41" t="inlineStr">
        <is>
          <t>Is there a visual indicator displayed during the upload process, so the user understands that an upload is in progress (e.g. spinning wheel or progress bar)?</t>
        </is>
      </c>
      <c r="F52" s="100" t="inlineStr">
        <is>
          <t>Not applicable</t>
        </is>
      </c>
      <c r="G52" s="102" t="inlineStr">
        <is>
          <t>The app doesn't have any file uploads.</t>
        </is>
      </c>
      <c r="H52" s="102" t="n"/>
      <c r="I52" s="107" t="n"/>
      <c r="J52" s="77" t="n"/>
      <c r="K52" s="102" t="n"/>
      <c r="L52" s="104" t="n"/>
      <c r="M52" s="28" t="n"/>
    </row>
    <row r="53" ht="38.25" customFormat="1" customHeight="1" s="5">
      <c r="A53" s="28" t="n"/>
      <c r="B53" s="21" t="n"/>
      <c r="C53" s="65" t="n">
        <v>41</v>
      </c>
      <c r="D53" s="74" t="inlineStr">
        <is>
          <t>File upload</t>
        </is>
      </c>
      <c r="E53" s="41" t="inlineStr">
        <is>
          <t xml:space="preserve">Is a suitable error message displayed for:
- File sizes that are too big 
- Incorrect file formats? </t>
        </is>
      </c>
      <c r="F53" s="100" t="inlineStr">
        <is>
          <t>Not applicable</t>
        </is>
      </c>
      <c r="G53" s="102" t="inlineStr">
        <is>
          <t>The app doesn't have any file uploads.</t>
        </is>
      </c>
      <c r="H53" s="102" t="n"/>
      <c r="I53" s="107" t="n"/>
      <c r="J53" s="77" t="n"/>
      <c r="K53" s="102" t="n"/>
      <c r="L53" s="104" t="n"/>
      <c r="M53" s="28" t="n"/>
    </row>
    <row r="54" ht="184" customHeight="1">
      <c r="B54" s="21" t="n"/>
      <c r="C54" s="65" t="n">
        <v>42</v>
      </c>
      <c r="D54" s="63" t="inlineStr">
        <is>
          <t>Links and navigation</t>
        </is>
      </c>
      <c r="E54" s="45" t="inlineStr">
        <is>
          <t>Is the user able to:  
- Navigate to each field on the page
- Navigate to each link on the page 
- Activate each link on the page 
- Navigate to each menu option on the page 
- Activate each menu option on the page 
- Utilise fields on pop-up screens
- Navigate to next page and previous page 
- Navigate to home page 
- Navigate via voice input</t>
        </is>
      </c>
      <c r="F54" s="100" t="inlineStr">
        <is>
          <t>Pass</t>
        </is>
      </c>
      <c r="G54" s="102" t="inlineStr">
        <is>
          <t>I could reach every field (Email -&gt; Password -&gt; Sign in) using Option+Tab, because Safari's Tab skips buttons by default. The top links go to Dashboard, Plan and Trends, an outcome opens from the dashboard and the browser Back button returns. Refreshing keeps me logged in and Sign out (account menu) takes me back to the login page.</t>
        </is>
      </c>
      <c r="H54" s="102" t="n"/>
      <c r="I54" s="105" t="n"/>
      <c r="J54" s="105" t="n"/>
      <c r="K54" s="102" t="n"/>
      <c r="L54" s="104" t="n">
        <v>4.59</v>
      </c>
    </row>
    <row r="55" ht="132" customHeight="1">
      <c r="B55" s="21" t="n"/>
      <c r="C55" s="65" t="n">
        <v>43</v>
      </c>
      <c r="D55" s="54" t="inlineStr">
        <is>
          <t>Links and navigation</t>
        </is>
      </c>
      <c r="E55" s="45" t="inlineStr">
        <is>
          <t>Do all hyperlinks function correctly, in terms of:
- Hover over (showing tool tip text)
- Left mouse click 
- Keyboard activate (tab to the link and hit enter)
- Long-press / tap-and-hold</t>
        </is>
      </c>
      <c r="F55" s="106" t="inlineStr">
        <is>
          <t>Pass</t>
        </is>
      </c>
      <c r="G55" s="102" t="inlineStr">
        <is>
          <t>The links (top bar, learning outcomes, "Open -&gt;" in the plan) change colour on hover, open the right page with a left click, and also work with the keyboard (Tab to the link and press Enter). Links don't have tooltips.</t>
        </is>
      </c>
      <c r="H55" s="102" t="n"/>
      <c r="I55" s="105" t="n"/>
      <c r="J55" s="105" t="n"/>
      <c r="K55" s="102" t="n"/>
      <c r="L55" s="104" t="n">
        <v>3.8</v>
      </c>
    </row>
    <row r="56" ht="93" customHeight="1">
      <c r="B56" s="21" t="n"/>
      <c r="C56" s="65" t="n">
        <v>44</v>
      </c>
      <c r="D56" s="54" t="inlineStr">
        <is>
          <t>Links and navigation</t>
        </is>
      </c>
      <c r="E56" s="45" t="inlineStr">
        <is>
          <t>Can the user navigate within the web page using the keyboard only, including: 
- Page up 
- Page down 
- Arrow keys 
- Tab / shift tab</t>
        </is>
      </c>
      <c r="F56" s="106" t="inlineStr">
        <is>
          <t>Pass</t>
        </is>
      </c>
      <c r="G56" s="102" t="inlineStr">
        <is>
          <t>On an outcome page, Page Down, Arrow Down and End moved the page down, Page Up and Home moved it back up, and Tab / Shift+Tab move between links and buttons.</t>
        </is>
      </c>
      <c r="H56" s="102" t="n"/>
      <c r="I56" s="105" t="n"/>
      <c r="J56" s="105" t="n"/>
      <c r="K56" s="102" t="n"/>
      <c r="L56" s="104" t="n">
        <v>8.050000000000001</v>
      </c>
    </row>
    <row r="57" ht="50.95" customHeight="1">
      <c r="B57" s="21" t="n"/>
      <c r="C57" s="65" t="n">
        <v>45</v>
      </c>
      <c r="D57" s="72" t="inlineStr">
        <is>
          <t>Haptic feedback</t>
        </is>
      </c>
      <c r="E57" s="45" t="inlineStr">
        <is>
          <t xml:space="preserve">For devices, does haptic feedback work correctly including for: 
- Links 
- Buttons 
- Input fields </t>
        </is>
      </c>
      <c r="F57" s="106" t="inlineStr">
        <is>
          <t>Not applicable</t>
        </is>
      </c>
      <c r="G57" s="102" t="inlineStr">
        <is>
          <t>Laptops don't have haptic feedback. The app doesn't use vibration.</t>
        </is>
      </c>
      <c r="H57" s="102" t="n"/>
      <c r="I57" s="105" t="n"/>
      <c r="J57" s="105" t="n"/>
      <c r="K57" s="102" t="n"/>
      <c r="L57" s="104" t="n"/>
    </row>
    <row r="58" ht="38.25" customHeight="1">
      <c r="B58" s="21" t="n"/>
      <c r="C58" s="65" t="n">
        <v>46</v>
      </c>
      <c r="D58" s="54" t="inlineStr">
        <is>
          <t>Search field</t>
        </is>
      </c>
      <c r="E58" s="45" t="inlineStr">
        <is>
          <t xml:space="preserve">Is the search bar:
- Displayed in the correctly location? 
- Expand when clicked/in focus (if applicable)? </t>
        </is>
      </c>
      <c r="F58" s="106" t="inlineStr">
        <is>
          <t>Not applicable</t>
        </is>
      </c>
      <c r="G58" s="102" t="inlineStr">
        <is>
          <t>The app doesn't have a search bar.</t>
        </is>
      </c>
      <c r="H58" s="102" t="n"/>
      <c r="I58" s="105" t="n"/>
      <c r="J58" s="105" t="n"/>
      <c r="K58" s="102" t="n"/>
      <c r="L58" s="104" t="n"/>
    </row>
    <row r="59" ht="80" customHeight="1">
      <c r="A59" s="40" t="n"/>
      <c r="C59" s="65" t="n">
        <v>47</v>
      </c>
      <c r="D59" s="72" t="inlineStr">
        <is>
          <t xml:space="preserve">Printing </t>
        </is>
      </c>
      <c r="E59" s="49" t="inlineStr">
        <is>
          <t>Does print functionality work correctly including for: 
- Font style and size
- Page alignment 
- Page graphics 
- Page fits to the paper size 
- Print preview</t>
        </is>
      </c>
      <c r="F59" s="106" t="inlineStr">
        <is>
          <t>Pass</t>
        </is>
      </c>
      <c r="G59" s="102" t="inlineStr">
        <is>
          <t>Checked the print view of the dashboard at A4 size. Text, fonts and the mastery bars fit on the page and nothing was cut off.</t>
        </is>
      </c>
      <c r="H59" s="102" t="n"/>
      <c r="I59" s="105" t="n"/>
      <c r="J59" s="105" t="n"/>
      <c r="K59" s="102" t="inlineStr">
        <is>
          <t>Compatibility Testing Evidence/safari-print-preview.png</t>
        </is>
      </c>
      <c r="L59" s="104" t="n">
        <v>2.54</v>
      </c>
    </row>
    <row r="60">
      <c r="B60" s="21" t="n"/>
      <c r="C60" s="30" t="n"/>
      <c r="D60" s="30" t="n"/>
      <c r="E60" s="31" t="n"/>
      <c r="F60" s="32" t="n"/>
      <c r="G60" s="32" t="n"/>
      <c r="H60" s="32" t="n"/>
      <c r="I60" s="32" t="n"/>
      <c r="J60" s="32" t="n"/>
      <c r="K60" s="32" t="n"/>
      <c r="L60" s="24" t="n"/>
    </row>
    <row r="61">
      <c r="B61" s="21" t="n"/>
      <c r="C61" s="33" t="n"/>
      <c r="E61" s="34" t="n"/>
      <c r="F61" s="35" t="n"/>
      <c r="G61" s="35" t="n"/>
      <c r="H61" s="35" t="n"/>
      <c r="I61" s="35" t="n"/>
      <c r="J61" s="35" t="n"/>
      <c r="K61" s="35" t="n"/>
      <c r="L61" s="24" t="n"/>
    </row>
    <row r="62" ht="13.3" customHeight="1" thickBot="1">
      <c r="B62" s="36" t="n"/>
      <c r="C62" s="37" t="inlineStr">
        <is>
          <t xml:space="preserve">© Planit </t>
        </is>
      </c>
      <c r="D62" s="38" t="n"/>
      <c r="E62" s="38" t="n"/>
      <c r="F62" s="39" t="n"/>
      <c r="G62" s="39" t="n"/>
      <c r="H62" s="39" t="n"/>
      <c r="I62" s="39" t="n"/>
      <c r="J62" s="39" t="n"/>
      <c r="K62" s="39" t="n"/>
      <c r="L62" s="29" t="n"/>
    </row>
    <row r="63">
      <c r="G63" s="10" t="n"/>
      <c r="H63" s="10" t="n"/>
      <c r="K63" s="10" t="n"/>
    </row>
    <row r="64">
      <c r="C64" s="11" t="n"/>
      <c r="D64" s="108" t="inlineStr">
        <is>
          <t>Test Metrics</t>
        </is>
      </c>
      <c r="G64" s="10" t="n"/>
      <c r="H64" s="10" t="n"/>
      <c r="K64" s="10" t="n"/>
    </row>
    <row r="65">
      <c r="C65" s="13" t="n"/>
      <c r="D65" s="14" t="n"/>
      <c r="E65" s="109" t="inlineStr">
        <is>
          <t>Total checks in the checklist</t>
        </is>
      </c>
      <c r="F65" s="110">
        <f>COUNTA(C13:C59)</f>
        <v>47.0</v>
      </c>
      <c r="G65" s="10" t="n"/>
      <c r="H65" s="10" t="n"/>
      <c r="K65" s="10" t="n"/>
    </row>
    <row r="66">
      <c r="C66" s="13" t="n"/>
      <c r="D66" s="14" t="n"/>
      <c r="E66" s="109" t="inlineStr">
        <is>
          <t>Tests executed (Pass + Fail)</t>
        </is>
      </c>
      <c r="F66" s="110">
        <f>COUNTIF(F13:F59,"Pass")+COUNTIF(F13:F59,"Fail")</f>
        <v>24.0</v>
      </c>
    </row>
    <row r="67">
      <c r="C67" s="13" t="n"/>
      <c r="D67" s="14" t="n"/>
      <c r="E67" s="109" t="inlineStr">
        <is>
          <t>Passed</t>
        </is>
      </c>
      <c r="F67" s="110">
        <f>COUNTIF(F13:F59,"Pass")</f>
        <v>24.0</v>
      </c>
    </row>
    <row r="68">
      <c r="C68" s="11" t="n"/>
      <c r="D68" s="12" t="n"/>
      <c r="E68" s="109" t="inlineStr">
        <is>
          <t>Failed</t>
        </is>
      </c>
      <c r="F68" s="110">
        <f>COUNTIF(F13:F59,"Fail")</f>
        <v>0.0</v>
      </c>
    </row>
    <row r="69">
      <c r="C69" s="11" t="n"/>
      <c r="D69" s="12" t="n"/>
      <c r="E69" s="109" t="inlineStr">
        <is>
          <t>Not run</t>
        </is>
      </c>
      <c r="F69" s="110">
        <f>COUNTIF(F13:F59,"Not run")</f>
        <v>1.0</v>
      </c>
    </row>
    <row r="70">
      <c r="E70" s="109" t="inlineStr">
        <is>
          <t>Not applicable</t>
        </is>
      </c>
      <c r="F70" s="110">
        <f>COUNTIF(F13:F59,"Not applicable")</f>
        <v>22.0</v>
      </c>
    </row>
    <row r="71">
      <c r="E71" s="109" t="inlineStr">
        <is>
          <t>Total time taken to execute the tests (sec)</t>
        </is>
      </c>
      <c r="F71" s="111">
        <f>SUM(L13:L59)</f>
        <v>159.18</v>
      </c>
    </row>
    <row r="72">
      <c r="E72" s="109" t="inlineStr">
        <is>
          <t>Average time taken per test (sec)</t>
        </is>
      </c>
      <c r="F72" s="111">
        <f>IFERROR(F71/F66,0)</f>
        <v>6.6325</v>
      </c>
    </row>
    <row r="73">
      <c r="E73" s="109" t="inlineStr">
        <is>
          <t>Pass rate</t>
        </is>
      </c>
      <c r="F73" s="112">
        <f>IFERROR(F67/F66,0)</f>
        <v>1.0</v>
      </c>
    </row>
    <row r="74">
      <c r="E74" s="109" t="inlineStr">
        <is>
          <t>Failure rate</t>
        </is>
      </c>
      <c r="F74" s="112">
        <f>IFERROR(F68/F66,0)</f>
        <v>0.0</v>
      </c>
    </row>
    <row r="75">
      <c r="E75" s="113" t="inlineStr">
        <is>
          <t>Pass rate = Passed ÷ Tests executed. "Not applicable" and "Not run" tests are not counted in the rates or the average.</t>
        </is>
      </c>
    </row>
  </sheetData>
  <conditionalFormatting sqref="F13:K59">
    <cfRule type="cellIs" priority="1" operator="equal" dxfId="5" stopIfTrue="1">
      <formula>RiskAccepted</formula>
    </cfRule>
    <cfRule type="cellIs" priority="2" operator="equal" dxfId="4" stopIfTrue="1">
      <formula>Conforming</formula>
    </cfRule>
    <cfRule type="cellIs" priority="3" operator="equal" dxfId="3" stopIfTrue="1">
      <formula>NotConforming</formula>
    </cfRule>
    <cfRule type="cellIs" priority="4" operator="equal" dxfId="2" stopIfTrue="1">
      <formula>OutOfScope</formula>
    </cfRule>
  </conditionalFormatting>
  <conditionalFormatting sqref="I13:J58">
    <cfRule type="colorScale" priority="71">
      <colorScale>
        <cfvo type="min"/>
        <cfvo type="max"/>
        <color rgb="FFFF7128"/>
        <color rgb="FFFFEF9C"/>
      </colorScale>
    </cfRule>
  </conditionalFormatting>
  <conditionalFormatting sqref="I59:J59">
    <cfRule type="colorScale" priority="7">
      <colorScale>
        <cfvo type="min"/>
        <cfvo type="max"/>
        <color rgb="FFFF7128"/>
        <color rgb="FFFFEF9C"/>
      </colorScale>
    </cfRule>
  </conditionalFormatting>
  <conditionalFormatting sqref="I13:K59">
    <cfRule type="cellIs" priority="31" operator="equal" dxfId="1">
      <formula>"Major"</formula>
    </cfRule>
    <cfRule type="cellIs" priority="32" operator="equal" dxfId="0">
      <formula>"Minor"</formula>
    </cfRule>
  </conditionalFormatting>
  <conditionalFormatting sqref="F13:F59">
    <cfRule type="cellIs" priority="9" operator="equal" dxfId="6">
      <formula>"Pass"</formula>
    </cfRule>
    <cfRule type="cellIs" priority="10" operator="equal" dxfId="7">
      <formula>"Fail"</formula>
    </cfRule>
  </conditionalFormatting>
  <dataValidations count="2">
    <dataValidation sqref="F13:F59" showDropDown="0" showInputMessage="0" showErrorMessage="0" allowBlank="1" type="list">
      <formula1>Status</formula1>
    </dataValidation>
    <dataValidation sqref="I13:I59" showDropDown="0" showInputMessage="0" showErrorMessage="0" allowBlank="1" type="list">
      <formula1>Variables!$D$2:$D$3</formula1>
    </dataValidation>
  </dataValidations>
  <pageMargins left="0.2362204724409449" right="0.2362204724409449" top="0.7480314960629921" bottom="0.7480314960629921" header="0.3149606299212598" footer="0.3149606299212598"/>
  <pageSetup orientation="landscape" paperSize="9"/>
  <drawing xmlns:r="http://schemas.openxmlformats.org/officeDocument/2006/relationships" r:id="rId1"/>
</worksheet>
</file>

<file path=xl/worksheets/sheet5.xml><?xml version="1.0" encoding="utf-8"?>
<worksheet xmlns="http://schemas.openxmlformats.org/spreadsheetml/2006/main">
  <sheetPr codeName="Sheet1">
    <tabColor theme="7" tint="0.3999755851924192"/>
    <outlinePr summaryBelow="1" summaryRight="1"/>
    <pageSetUpPr/>
  </sheetPr>
  <dimension ref="A2:M75"/>
  <sheetViews>
    <sheetView showGridLines="0" workbookViewId="0">
      <pane ySplit="12" topLeftCell="A13" activePane="bottomLeft" state="frozen"/>
      <selection pane="bottomLeft" activeCell="A1" sqref="A1"/>
    </sheetView>
  </sheetViews>
  <sheetFormatPr baseColWidth="8" defaultColWidth="9.09765625" defaultRowHeight="12.75" customHeight="1"/>
  <cols>
    <col width="2.8984375" customWidth="1" style="6" min="1" max="1"/>
    <col width="4.296875" customWidth="1" style="6" min="2" max="2"/>
    <col width="7.59765625" customWidth="1" style="7" min="3" max="3"/>
    <col width="21.8984375" customWidth="1" style="8" min="4" max="4"/>
    <col width="72" customWidth="1" style="9" min="5" max="5"/>
    <col width="14.59765625" bestFit="1" customWidth="1" style="6" min="6" max="6"/>
    <col width="24.59765625" customWidth="1" style="6" min="7" max="7"/>
    <col width="18.19921875" customWidth="1" style="6" min="8" max="8"/>
    <col width="19.3984375" bestFit="1" customWidth="1" style="6" min="9" max="9"/>
    <col width="19.3984375" customWidth="1" style="6" min="10" max="10"/>
    <col width="25" customWidth="1" style="6" min="11" max="11"/>
    <col width="16" customWidth="1" style="6" min="12" max="12"/>
    <col width="3.296875" customWidth="1" style="6" min="13" max="13"/>
    <col width="9.09765625" customWidth="1" style="3" min="14" max="16384"/>
  </cols>
  <sheetData>
    <row r="1" ht="13.3" customHeight="1" thickBot="1"/>
    <row r="2">
      <c r="B2" s="15" t="n"/>
      <c r="C2" s="16" t="n"/>
      <c r="D2" s="17" t="n"/>
      <c r="E2" s="18" t="n"/>
      <c r="F2" s="19" t="n"/>
      <c r="G2" s="19" t="n"/>
      <c r="H2" s="19" t="n"/>
      <c r="I2" s="19" t="n"/>
      <c r="J2" s="19" t="n"/>
      <c r="K2" s="19" t="n"/>
      <c r="L2" s="20" t="n"/>
    </row>
    <row r="3" ht="25.5" customHeight="1">
      <c r="B3" s="21" t="n"/>
      <c r="C3" s="22" t="inlineStr">
        <is>
          <t>Compatibility Testing Checklist</t>
        </is>
      </c>
      <c r="E3" s="23" t="n"/>
      <c r="F3" s="23" t="n"/>
      <c r="G3" s="23" t="n"/>
      <c r="H3" s="23" t="n"/>
      <c r="I3" s="23" t="n"/>
      <c r="J3" s="23" t="n"/>
      <c r="K3" s="23" t="n"/>
      <c r="L3" s="24" t="n"/>
    </row>
    <row r="4">
      <c r="B4" s="21" t="n"/>
      <c r="L4" s="24" t="n"/>
    </row>
    <row r="5">
      <c r="B5" s="21" t="n"/>
      <c r="C5" s="3" t="n"/>
      <c r="D5" s="55" t="inlineStr">
        <is>
          <t xml:space="preserve">Test object: </t>
        </is>
      </c>
      <c r="E5" s="98" t="inlineStr">
        <is>
          <t>Learning Journey Assistant (https://learning-journey-app.onrender.com)</t>
        </is>
      </c>
      <c r="F5" s="57" t="inlineStr">
        <is>
          <t xml:space="preserve">Name of the system being tested </t>
        </is>
      </c>
      <c r="L5" s="24" t="n"/>
    </row>
    <row r="6" ht="26" customHeight="1">
      <c r="B6" s="21" t="n"/>
      <c r="C6" s="3" t="n"/>
      <c r="D6" s="55" t="inlineStr">
        <is>
          <t>Test basis:</t>
        </is>
      </c>
      <c r="E6" s="98" t="inlineStr">
        <is>
          <t>Project proposal must-haves and user stories: a student signs in, sees their mastery dashboard (strengths, skill gaps, progress trends), opens a learning outcome, takes an adaptive AI quiz and generates a learning plan. Also past experience with similar web apps.</t>
        </is>
      </c>
      <c r="F6" s="57" t="inlineStr">
        <is>
          <t>What test design is based on - for example, requirements, epics, user stories, or past experience with similar systems</t>
        </is>
      </c>
      <c r="L6" s="24" t="n"/>
    </row>
    <row r="7">
      <c r="B7" s="21" t="n"/>
      <c r="C7" s="3" t="n"/>
      <c r="D7" s="55" t="inlineStr">
        <is>
          <t>Page name:</t>
        </is>
      </c>
      <c r="E7" s="98" t="inlineStr">
        <is>
          <t>Login, Dashboard, Outcome detail, Quiz, Learning plan, Trends and Profile</t>
        </is>
      </c>
      <c r="F7" s="57" t="inlineStr">
        <is>
          <t>Name of the page or tab being tested</t>
        </is>
      </c>
      <c r="L7" s="24" t="n"/>
    </row>
    <row r="8" ht="26" customHeight="1">
      <c r="B8" s="21" t="n"/>
      <c r="C8" s="3" t="n"/>
      <c r="D8" s="55" t="inlineStr">
        <is>
          <t>Environment details:</t>
        </is>
      </c>
      <c r="E8" s="98" t="inlineStr">
        <is>
          <t>Apple iPhone 13 emulator (iOS Safari, WebKit 26.6) on macOS, screen 390x664, touch on. Tests run with a Playwright automation script.</t>
        </is>
      </c>
      <c r="F8" s="57" t="inlineStr">
        <is>
          <t>Describe the test environment - e.g. Apple iPhone X running iOS Y, Edge browser version aa.bb</t>
        </is>
      </c>
      <c r="L8" s="24" t="n"/>
    </row>
    <row r="9">
      <c r="B9" s="21" t="n"/>
      <c r="C9" s="3" t="n"/>
      <c r="D9" s="55" t="inlineStr">
        <is>
          <t>Tester name:</t>
        </is>
      </c>
      <c r="E9" s="98" t="inlineStr">
        <is>
          <t>Ritik Rayamajhi</t>
        </is>
      </c>
      <c r="F9" s="57" t="inlineStr">
        <is>
          <t>Name of the person performing the testing</t>
        </is>
      </c>
      <c r="L9" s="24" t="n"/>
    </row>
    <row r="10">
      <c r="B10" s="21" t="n"/>
      <c r="C10" s="3" t="n"/>
      <c r="D10" s="55" t="inlineStr">
        <is>
          <t>Date tested:</t>
        </is>
      </c>
      <c r="E10" s="99" t="n">
        <v>46302</v>
      </c>
      <c r="F10" s="57" t="inlineStr">
        <is>
          <t>Date tests were run on</t>
        </is>
      </c>
      <c r="L10" s="24" t="n"/>
    </row>
    <row r="11">
      <c r="B11" s="21" t="n"/>
      <c r="L11" s="24" t="n"/>
    </row>
    <row r="12" ht="25.5" customFormat="1" customHeight="1" s="4">
      <c r="A12" s="26" t="n"/>
      <c r="B12" s="21" t="n"/>
      <c r="C12" s="66" t="inlineStr">
        <is>
          <t>ID</t>
        </is>
      </c>
      <c r="D12" s="67" t="inlineStr">
        <is>
          <t>Perspective</t>
        </is>
      </c>
      <c r="E12" s="68" t="inlineStr">
        <is>
          <t>Checklist</t>
        </is>
      </c>
      <c r="F12" s="68" t="inlineStr">
        <is>
          <t>Result</t>
        </is>
      </c>
      <c r="G12" s="69" t="inlineStr">
        <is>
          <t>Comments</t>
        </is>
      </c>
      <c r="H12" s="69" t="inlineStr">
        <is>
          <t>Defect ID</t>
        </is>
      </c>
      <c r="I12" s="70" t="inlineStr">
        <is>
          <t>Defect Severity</t>
        </is>
      </c>
      <c r="J12" s="70" t="inlineStr">
        <is>
          <t>Defect Details</t>
        </is>
      </c>
      <c r="K12" s="69" t="inlineStr">
        <is>
          <t>Test Evidence</t>
        </is>
      </c>
      <c r="L12" s="69" t="inlineStr">
        <is>
          <t>Time Taken (sec)</t>
        </is>
      </c>
      <c r="M12" s="26" t="n"/>
    </row>
    <row r="13" ht="93" customHeight="1">
      <c r="B13" s="21" t="n"/>
      <c r="C13" s="65" t="n">
        <v>1</v>
      </c>
      <c r="D13" s="71" t="inlineStr">
        <is>
          <t>Page structure</t>
        </is>
      </c>
      <c r="E13" s="41" t="inlineStr">
        <is>
          <t>Has the correct page template, style sheet and/or structure been used, matching company and project requirements?</t>
        </is>
      </c>
      <c r="F13" s="100" t="inlineStr">
        <is>
          <t>Pass</t>
        </is>
      </c>
      <c r="G13" s="101" t="inlineStr">
        <is>
          <t>Every page uses the same layout: the top bar with Dashboard / Plan / Trends and the account button, then white rounded cards on a light background.</t>
        </is>
      </c>
      <c r="H13" s="102" t="n"/>
      <c r="I13" s="103" t="n"/>
      <c r="J13" s="77" t="n"/>
      <c r="K13" s="102" t="inlineStr">
        <is>
          <t>Compatibility Testing Evidence/iphone-dashboard.png</t>
        </is>
      </c>
      <c r="L13" s="104" t="n">
        <v>12.23</v>
      </c>
    </row>
    <row r="14" ht="119" customHeight="1">
      <c r="B14" s="21" t="n"/>
      <c r="C14" s="65" t="n">
        <v>2</v>
      </c>
      <c r="D14" s="71" t="inlineStr">
        <is>
          <t>Page structure</t>
        </is>
      </c>
      <c r="E14" s="45" t="inlineStr">
        <is>
          <t xml:space="preserve">Do page colours and fonts match company branding? </t>
        </is>
      </c>
      <c r="F14" s="100" t="inlineStr">
        <is>
          <t>Pass</t>
        </is>
      </c>
      <c r="G14" s="102" t="inlineStr">
        <is>
          <t>We don't have an official brand guide, so I checked the colours are consistent: the main buttons are the same dark colour on every page and the accent colour (#c0362c, La Trobe red) is used for icons and links.</t>
        </is>
      </c>
      <c r="H14" s="102" t="n"/>
      <c r="I14" s="105" t="n"/>
      <c r="J14" s="105" t="n"/>
      <c r="K14" s="102" t="n"/>
      <c r="L14" s="104" t="n">
        <v>4.33</v>
      </c>
    </row>
    <row r="15" ht="54" customHeight="1">
      <c r="B15" s="21" t="n"/>
      <c r="C15" s="65" t="n">
        <v>3</v>
      </c>
      <c r="D15" s="71" t="inlineStr">
        <is>
          <t>Page structure</t>
        </is>
      </c>
      <c r="E15" s="45" t="inlineStr">
        <is>
          <t>Does the page description (e.g. in the title bar or tab) correctly reflect the page content?</t>
        </is>
      </c>
      <c r="F15" s="100" t="inlineStr">
        <is>
          <t>Pass</t>
        </is>
      </c>
      <c r="G15" s="102" t="inlineStr">
        <is>
          <t>The browser tab says "Learning Journey Assistant" on all 6 pages, which matches the app.</t>
        </is>
      </c>
      <c r="H15" s="102" t="n"/>
      <c r="I15" s="105" t="n"/>
      <c r="J15" s="105" t="n"/>
      <c r="K15" s="102" t="n"/>
      <c r="L15" s="104" t="n">
        <v>9.630000000000001</v>
      </c>
    </row>
    <row r="16" ht="106" customHeight="1">
      <c r="B16" s="21" t="n"/>
      <c r="C16" s="65" t="n">
        <v>4</v>
      </c>
      <c r="D16" s="71" t="inlineStr">
        <is>
          <t>Page structure</t>
        </is>
      </c>
      <c r="E16" s="45" t="inlineStr">
        <is>
          <t xml:space="preserve">Have correct and consistent fonts, text sizes and text positions been used, including: 
- Header 
- Menu bar 
- Body/content 
- Input and output fields
- Buttons (e.g. Next/Previous, Submit/Cancel etc.) 
- Footer </t>
        </is>
      </c>
      <c r="F16" s="100" t="inlineStr">
        <is>
          <t>Pass</t>
        </is>
      </c>
      <c r="G16" s="102" t="inlineStr">
        <is>
          <t>The top bar, page text, form fields and buttons all use the same font. Headings are bigger/bolder and small notes are smaller, and nothing overlaps. (There is no footer.)</t>
        </is>
      </c>
      <c r="H16" s="102" t="n"/>
      <c r="I16" s="105" t="n"/>
      <c r="J16" s="105" t="n"/>
      <c r="K16" s="102" t="n"/>
      <c r="L16" s="104" t="n">
        <v>2.53</v>
      </c>
    </row>
    <row r="17" ht="67.59999999999999" customHeight="1">
      <c r="B17" s="21" t="n"/>
      <c r="C17" s="65" t="n">
        <v>5</v>
      </c>
      <c r="D17" s="71" t="inlineStr">
        <is>
          <t>Page structure</t>
        </is>
      </c>
      <c r="E17" s="45" t="inlineStr">
        <is>
          <t>Does the page display correctly across different screen resolutions, including:
- High definition (HD) 
- Recommended display setting (on computer)
- Lowest display setting (on computer)
- Devices (e.g. mobile, tablet, watch)</t>
        </is>
      </c>
      <c r="F17" s="100" t="inlineStr">
        <is>
          <t>Pass</t>
        </is>
      </c>
      <c r="G17" s="102" t="inlineStr">
        <is>
          <t>Checked all 5 pages in portrait (390x664) and landscape (664x390). Everything fit the screen.</t>
        </is>
      </c>
      <c r="H17" s="102" t="n"/>
      <c r="I17" s="105" t="n"/>
      <c r="J17" s="105" t="n"/>
      <c r="K17" s="102" t="inlineStr">
        <is>
          <t>Compatibility Testing Evidence/iphone-resolution-small.png</t>
        </is>
      </c>
      <c r="L17" s="104" t="n">
        <v>13.18</v>
      </c>
    </row>
    <row r="18" ht="67" customHeight="1">
      <c r="B18" s="21" t="n"/>
      <c r="C18" s="65" t="n">
        <v>6</v>
      </c>
      <c r="D18" s="71" t="inlineStr">
        <is>
          <t>Page structure</t>
        </is>
      </c>
      <c r="E18" s="45" t="inlineStr">
        <is>
          <t>Does the page scroll smoothly without lagging?</t>
        </is>
      </c>
      <c r="F18" s="100" t="inlineStr">
        <is>
          <t>Pass</t>
        </is>
      </c>
      <c r="G18" s="102" t="inlineStr">
        <is>
          <t>Scrolled the dashboard from top to bottom. It was smooth with no lag (about 64 frames per second).</t>
        </is>
      </c>
      <c r="H18" s="102" t="n"/>
      <c r="I18" s="105" t="n"/>
      <c r="J18" s="105" t="n"/>
      <c r="K18" s="102" t="n"/>
      <c r="L18" s="104" t="n">
        <v>2.97</v>
      </c>
    </row>
    <row r="19" ht="67" customHeight="1">
      <c r="B19" s="21" t="n"/>
      <c r="C19" s="65" t="n">
        <v>7</v>
      </c>
      <c r="D19" s="71" t="inlineStr">
        <is>
          <t>Page structure</t>
        </is>
      </c>
      <c r="E19" s="45" t="inlineStr">
        <is>
          <t>Is the page content viewable without the need for a horizontal scroll bar? (horizontal scrolling is generally not recommended/preferred)</t>
        </is>
      </c>
      <c r="F19" s="100" t="inlineStr">
        <is>
          <t>Pass</t>
        </is>
      </c>
      <c r="G19" s="102" t="inlineStr">
        <is>
          <t>No horizontal scroll bar on any of the 7 pages (login, dashboard, outcome, quiz, plan, trends, profile).</t>
        </is>
      </c>
      <c r="H19" s="102" t="n"/>
      <c r="I19" s="105" t="n"/>
      <c r="J19" s="105" t="n"/>
      <c r="K19" s="102" t="n"/>
      <c r="L19" s="104" t="n">
        <v>12.97</v>
      </c>
    </row>
    <row r="20" ht="93" customHeight="1">
      <c r="B20" s="21" t="n"/>
      <c r="C20" s="65" t="n">
        <v>8</v>
      </c>
      <c r="D20" s="71" t="inlineStr">
        <is>
          <t>Page structure</t>
        </is>
      </c>
      <c r="E20" s="45" t="inlineStr">
        <is>
          <t>Do menus function correctly when opened, traversed and activated/clicked, including: 
- Hamburger menu
- Expandable menus
- Collapsible menus
- Drop down "more information" menus (usually available via an ellipsis …)</t>
        </is>
      </c>
      <c r="F20" s="106" t="inlineStr">
        <is>
          <t>Pass</t>
        </is>
      </c>
      <c r="G20" s="102" t="inlineStr">
        <is>
          <t>No hamburger menu. The account menu (round button with my initials) opens when tapped, closes when I tap somewhere else, and "Profile" takes me to my profile.</t>
        </is>
      </c>
      <c r="H20" s="102" t="n"/>
      <c r="I20" s="105" t="n"/>
      <c r="J20" s="105" t="n"/>
      <c r="K20" s="102" t="inlineStr">
        <is>
          <t>Compatibility Testing Evidence/iphone-account-menu.png</t>
        </is>
      </c>
      <c r="L20" s="104" t="n">
        <v>2.27</v>
      </c>
    </row>
    <row r="21" ht="132" customHeight="1">
      <c r="B21" s="21" t="n"/>
      <c r="C21" s="65" t="n">
        <v>9</v>
      </c>
      <c r="D21" s="71" t="inlineStr">
        <is>
          <t>Page structure</t>
        </is>
      </c>
      <c r="E21" s="45" t="inlineStr">
        <is>
          <t>Does the page view correctly when using zoom in and out?</t>
        </is>
      </c>
      <c r="F21" s="106" t="inlineStr">
        <is>
          <t>Pass</t>
        </is>
      </c>
      <c r="G21" s="102" t="inlineStr">
        <is>
          <t>Zoomed the dashboard and an outcome page in to 200% and out to 50%. The text and mastery bars resized and nothing went off the screen. (This failed in my first test run - see DEF-02. After the fix I retested it and it passed.)</t>
        </is>
      </c>
      <c r="H21" s="102" t="inlineStr">
        <is>
          <t>DEF-02</t>
        </is>
      </c>
      <c r="I21" s="105" t="inlineStr">
        <is>
          <t>Minor</t>
        </is>
      </c>
      <c r="J21" s="105" t="inlineStr">
        <is>
          <t>At 200% zoom on a phone (about 195px wide) the outcome badge in the page header and the recent-feedback cards don't fit and cause sideways scrolling. Fix: let the badge wrap below the title and let long text wrap. Fixed: the badge, top bar and long text now wrap on very narrow screens. Retested 07/10/2026: Pass.</t>
        </is>
      </c>
      <c r="K21" s="102" t="inlineStr">
        <is>
          <t>After fix: Compatibility Testing Evidence/iphone-zoom-200.png
Before fix: Compatibility Testing Evidence/first-run/iphone-zoom-200.png</t>
        </is>
      </c>
      <c r="L21" s="104" t="n">
        <v>6.62</v>
      </c>
    </row>
    <row r="22" ht="106" customHeight="1">
      <c r="B22" s="21" t="n"/>
      <c r="C22" s="65" t="n">
        <v>10</v>
      </c>
      <c r="D22" s="71" t="inlineStr">
        <is>
          <t>Page structure</t>
        </is>
      </c>
      <c r="E22" s="45" t="inlineStr">
        <is>
          <t>When JavaScript is turned off, do understandable error messages appear explaining that JavaScript must be enabled to display required content, without any scripts being displayed to on the screen?</t>
        </is>
      </c>
      <c r="F22" s="106" t="inlineStr">
        <is>
          <t>Pass</t>
        </is>
      </c>
      <c r="G22" s="102" t="inlineStr">
        <is>
          <t>I turned JavaScript off. The page shows a clear message: "Please enable JavaScript in your browser to use the Learning Journey Assistant, then reload the page." No code is shown on screen.</t>
        </is>
      </c>
      <c r="H22" s="102" t="n"/>
      <c r="I22" s="105" t="n"/>
      <c r="J22" s="105" t="n"/>
      <c r="K22" s="102" t="inlineStr">
        <is>
          <t>Compatibility Testing Evidence/iphone-javascript-off.png</t>
        </is>
      </c>
      <c r="L22" s="104" t="n">
        <v>1.73</v>
      </c>
    </row>
    <row r="23" ht="106" customHeight="1">
      <c r="B23" s="21" t="n"/>
      <c r="C23" s="65" t="n">
        <v>11</v>
      </c>
      <c r="D23" s="54" t="inlineStr">
        <is>
          <t>Images</t>
        </is>
      </c>
      <c r="E23" s="45" t="inlineStr">
        <is>
          <t>Are images displayed correctly, including: 
- Position on the page (alignment, not overlapping fields, content or edge of screen)
- Rendering 
- Resolution
- Background (e.g. transparent)
- Lazy loading (load on scroll)
- No distortion (i.e. correct aspect ratio)
- No broken links</t>
        </is>
      </c>
      <c r="F23" s="106" t="inlineStr">
        <is>
          <t>Pass</t>
        </is>
      </c>
      <c r="G23" s="102" t="inlineStr">
        <is>
          <t>Our app has no photos or pictures - only small line icons (e.g. the target, lightbulb and arrow icons). They all showed at the right size and position, sharp and not stretched, on every page.</t>
        </is>
      </c>
      <c r="H23" s="102" t="n"/>
      <c r="I23" s="105" t="n"/>
      <c r="J23" s="105" t="n"/>
      <c r="K23" s="102" t="n"/>
      <c r="L23" s="104" t="n">
        <v>9.73</v>
      </c>
    </row>
    <row r="24" ht="54" customHeight="1">
      <c r="B24" s="21" t="n"/>
      <c r="C24" s="65" t="n">
        <v>12</v>
      </c>
      <c r="D24" s="54" t="inlineStr">
        <is>
          <t>Images</t>
        </is>
      </c>
      <c r="E24" s="45" t="inlineStr">
        <is>
          <t>Are images suitable for the given content and context?</t>
        </is>
      </c>
      <c r="F24" s="106" t="inlineStr">
        <is>
          <t>Not applicable</t>
        </is>
      </c>
      <c r="G24" s="102" t="inlineStr">
        <is>
          <t>No photos or pictures in the app, only small icons that match their labels.</t>
        </is>
      </c>
      <c r="H24" s="102" t="n"/>
      <c r="I24" s="105" t="n"/>
      <c r="J24" s="105" t="n"/>
      <c r="K24" s="102" t="n"/>
      <c r="L24" s="104" t="n"/>
    </row>
    <row r="25" ht="184" customHeight="1">
      <c r="B25" s="21" t="n"/>
      <c r="C25" s="65" t="n">
        <v>13</v>
      </c>
      <c r="D25" s="54" t="inlineStr">
        <is>
          <t>Images</t>
        </is>
      </c>
      <c r="E25" s="45" t="inlineStr">
        <is>
          <t xml:space="preserve">Do images include suitable alternative text? </t>
        </is>
      </c>
      <c r="F25" s="106" t="inlineStr">
        <is>
          <t>Pass</t>
        </is>
      </c>
      <c r="G25" s="102" t="inlineStr">
        <is>
          <t>There are no photos that need alt text. The decorative icons are hidden from screen readers, icon-only buttons (like the back arrow and account menu) have a label, and the trend chart has a title and a text description of its values. (This failed in my first test run - see DEF-01. After the fix I retested it and it passed.)</t>
        </is>
      </c>
      <c r="H25" s="102" t="inlineStr">
        <is>
          <t>DEF-01</t>
        </is>
      </c>
      <c r="I25" s="105" t="inlineStr">
        <is>
          <t>Minor</t>
        </is>
      </c>
      <c r="J25" s="105" t="inlineStr">
        <is>
          <t>The mastery trend chart (Trends page) has no text alternative: the chart graphic has no title/description, so screen readers can't tell what it shows. Fix: give the chart a title and a text description of its values. Fixed: the chart now has a title and a text description of its values. Retested 07/10/2026: Pass.</t>
        </is>
      </c>
      <c r="K25" s="102" t="inlineStr">
        <is>
          <t>Before fix: Compatibility Testing Evidence/first-run/iphone-trends.png</t>
        </is>
      </c>
      <c r="L25" s="104" t="n">
        <v>9.59</v>
      </c>
    </row>
    <row r="26" ht="54" customHeight="1">
      <c r="B26" s="21" t="n"/>
      <c r="C26" s="65" t="n">
        <v>14</v>
      </c>
      <c r="D26" s="54" t="inlineStr">
        <is>
          <t>Images</t>
        </is>
      </c>
      <c r="E26" s="45" t="inlineStr">
        <is>
          <t>Do clickable images navigate to the correct location?</t>
        </is>
      </c>
      <c r="F26" s="106" t="inlineStr">
        <is>
          <t>Not applicable</t>
        </is>
      </c>
      <c r="G26" s="102" t="inlineStr">
        <is>
          <t>No clickable images. (The account button shows my initials as text, it's checked in test 8.)</t>
        </is>
      </c>
      <c r="H26" s="102" t="n"/>
      <c r="I26" s="105" t="n"/>
      <c r="J26" s="105" t="n"/>
      <c r="K26" s="102" t="n"/>
      <c r="L26" s="104" t="n"/>
    </row>
    <row r="27" ht="54" customHeight="1">
      <c r="B27" s="21" t="n"/>
      <c r="C27" s="65" t="n">
        <v>15</v>
      </c>
      <c r="D27" s="54" t="inlineStr">
        <is>
          <t>Images</t>
        </is>
      </c>
      <c r="E27" s="45" t="inlineStr">
        <is>
          <t xml:space="preserve">Do images display correctly when screen is zoomed in and out? </t>
        </is>
      </c>
      <c r="F27" s="106" t="inlineStr">
        <is>
          <t>Not applicable</t>
        </is>
      </c>
      <c r="G27" s="102" t="inlineStr">
        <is>
          <t>No images. Icons and the rest of the page were checked at 200% and 50% zoom in test 9.</t>
        </is>
      </c>
      <c r="H27" s="102" t="n"/>
      <c r="I27" s="105" t="n"/>
      <c r="J27" s="105" t="n"/>
      <c r="K27" s="102" t="n"/>
      <c r="L27" s="104" t="n"/>
    </row>
    <row r="28" ht="54" customHeight="1">
      <c r="B28" s="21" t="n"/>
      <c r="C28" s="65" t="n">
        <v>16</v>
      </c>
      <c r="D28" s="54" t="inlineStr">
        <is>
          <t>Images</t>
        </is>
      </c>
      <c r="E28" s="45" t="inlineStr">
        <is>
          <t>Do animated behaviours display correctly (e.g. Giff)</t>
        </is>
      </c>
      <c r="F28" s="106" t="inlineStr">
        <is>
          <t>Not applicable</t>
        </is>
      </c>
      <c r="G28" s="102" t="inlineStr">
        <is>
          <t>No GIFs or animations, apart from a small spinning icon while something loads.</t>
        </is>
      </c>
      <c r="H28" s="102" t="n"/>
      <c r="I28" s="105" t="n"/>
      <c r="J28" s="105" t="n"/>
      <c r="K28" s="102" t="n"/>
      <c r="L28" s="104" t="n"/>
    </row>
    <row r="29" ht="28" customHeight="1">
      <c r="B29" s="21" t="n"/>
      <c r="C29" s="65" t="n">
        <v>17</v>
      </c>
      <c r="D29" s="72" t="inlineStr">
        <is>
          <t>Videos</t>
        </is>
      </c>
      <c r="E29" s="45" t="inlineStr">
        <is>
          <t xml:space="preserve">Are videos displayed, positioned and rendered correctly on the page, with the correct thumbnails? </t>
        </is>
      </c>
      <c r="F29" s="106" t="inlineStr">
        <is>
          <t>Not applicable</t>
        </is>
      </c>
      <c r="G29" s="102" t="inlineStr">
        <is>
          <t>The app doesn't have any videos.</t>
        </is>
      </c>
      <c r="H29" s="102" t="n"/>
      <c r="I29" s="105" t="n"/>
      <c r="J29" s="105" t="n"/>
      <c r="K29" s="102" t="n"/>
      <c r="L29" s="104" t="n"/>
    </row>
    <row r="30" ht="63.7" customHeight="1">
      <c r="B30" s="21" t="n"/>
      <c r="C30" s="65" t="n">
        <v>18</v>
      </c>
      <c r="D30" s="72" t="inlineStr">
        <is>
          <t>Videos</t>
        </is>
      </c>
      <c r="E30" s="45" t="inlineStr">
        <is>
          <t>Do videos play correctly, including (where required):
- Auto play
- Click to play 
- Tap to play
- Picture in picture (PiP)</t>
        </is>
      </c>
      <c r="F30" s="106" t="inlineStr">
        <is>
          <t>Not applicable</t>
        </is>
      </c>
      <c r="G30" s="102" t="inlineStr">
        <is>
          <t>The app doesn't have any videos.</t>
        </is>
      </c>
      <c r="H30" s="102" t="n"/>
      <c r="I30" s="105" t="n"/>
      <c r="J30" s="105" t="n"/>
      <c r="K30" s="102" t="n"/>
      <c r="L30" s="104" t="n"/>
    </row>
    <row r="31" ht="28" customHeight="1">
      <c r="B31" s="21" t="n"/>
      <c r="C31" s="65" t="n">
        <v>19</v>
      </c>
      <c r="D31" s="72" t="inlineStr">
        <is>
          <t>Videos</t>
        </is>
      </c>
      <c r="E31" s="45" t="inlineStr">
        <is>
          <t>Do videos display with the correct defaults (e.g. auto-play, display inline or full screen)</t>
        </is>
      </c>
      <c r="F31" s="106" t="inlineStr">
        <is>
          <t>Not applicable</t>
        </is>
      </c>
      <c r="G31" s="102" t="inlineStr">
        <is>
          <t>The app doesn't have any videos.</t>
        </is>
      </c>
      <c r="H31" s="102" t="n"/>
      <c r="I31" s="105" t="n"/>
      <c r="J31" s="105" t="n"/>
      <c r="K31" s="102" t="n"/>
      <c r="L31" s="104" t="n"/>
    </row>
    <row r="32" ht="50.95" customHeight="1">
      <c r="B32" s="21" t="n"/>
      <c r="C32" s="65" t="n">
        <v>20</v>
      </c>
      <c r="D32" s="72" t="inlineStr">
        <is>
          <t>Videos</t>
        </is>
      </c>
      <c r="E32" s="45" t="inlineStr">
        <is>
          <t>Do all videos display suitable captions, including:
- Captions that match the video content
- Language preferences
- Location on screen</t>
        </is>
      </c>
      <c r="F32" s="106" t="inlineStr">
        <is>
          <t>Not applicable</t>
        </is>
      </c>
      <c r="G32" s="102" t="inlineStr">
        <is>
          <t>The app doesn't have any videos.</t>
        </is>
      </c>
      <c r="H32" s="102" t="n"/>
      <c r="I32" s="105" t="n"/>
      <c r="J32" s="105" t="n"/>
      <c r="K32" s="102" t="n"/>
      <c r="L32" s="104" t="n"/>
    </row>
    <row r="33" ht="50.95" customHeight="1">
      <c r="B33" s="21" t="n"/>
      <c r="C33" s="65" t="n">
        <v>21</v>
      </c>
      <c r="D33" s="72" t="inlineStr">
        <is>
          <t>Videos</t>
        </is>
      </c>
      <c r="E33" s="45" t="inlineStr">
        <is>
          <t>Can videos be moved to:
- Full screen mode 
- Embedded/inline mode
- Press escape from full-screen mode to revert back to inline mode</t>
        </is>
      </c>
      <c r="F33" s="106" t="inlineStr">
        <is>
          <t>Not applicable</t>
        </is>
      </c>
      <c r="G33" s="102" t="inlineStr">
        <is>
          <t>The app doesn't have any videos.</t>
        </is>
      </c>
      <c r="H33" s="102" t="n"/>
      <c r="I33" s="105" t="n"/>
      <c r="J33" s="105" t="n"/>
      <c r="K33" s="102" t="n"/>
      <c r="L33" s="104" t="n"/>
    </row>
    <row r="34" ht="114.65" customHeight="1">
      <c r="B34" s="21" t="n"/>
      <c r="C34" s="65" t="n">
        <v>22</v>
      </c>
      <c r="D34" s="72" t="inlineStr">
        <is>
          <t>Videos</t>
        </is>
      </c>
      <c r="E34" s="45" t="inlineStr">
        <is>
          <t>Do video controls work, including: 
- Play, pause, stop
- Fast forward and rewind (including skip X seconds forward/back)
- Volume 
- Mute/unmute 
- Playback speed (e.g. 0.5x, 1.5x, 2x)
- Resume from last position 
- Download / long-press
- Streaming vs. offline view</t>
        </is>
      </c>
      <c r="F34" s="106" t="inlineStr">
        <is>
          <t>Not applicable</t>
        </is>
      </c>
      <c r="G34" s="102" t="inlineStr">
        <is>
          <t>The app doesn't have any videos.</t>
        </is>
      </c>
      <c r="H34" s="102" t="n"/>
      <c r="I34" s="105" t="n"/>
      <c r="J34" s="105" t="n"/>
      <c r="K34" s="102" t="n"/>
      <c r="L34" s="104" t="n"/>
    </row>
    <row r="35" ht="93" customHeight="1">
      <c r="B35" s="21" t="n"/>
      <c r="C35" s="65" t="n">
        <v>23</v>
      </c>
      <c r="D35" s="51" t="inlineStr">
        <is>
          <t>Forms</t>
        </is>
      </c>
      <c r="E35" s="41" t="inlineStr">
        <is>
          <t xml:space="preserve">Are all required fields visible on the form? </t>
        </is>
      </c>
      <c r="F35" s="106" t="inlineStr">
        <is>
          <t>Pass</t>
        </is>
      </c>
      <c r="G35" s="102" t="inlineStr">
        <is>
          <t>Login form: Student email, Password and Sign in are all visible. The "Commit to a next step" box on the outcome page shows its text field and "Add to my plan" button.</t>
        </is>
      </c>
      <c r="H35" s="102" t="n"/>
      <c r="I35" s="105" t="n"/>
      <c r="J35" s="105" t="n"/>
      <c r="K35" s="102" t="inlineStr">
        <is>
          <t>Compatibility Testing Evidence/iphone-login.png</t>
        </is>
      </c>
      <c r="L35" s="104" t="n">
        <v>4.82</v>
      </c>
    </row>
    <row r="36" ht="178.35" customHeight="1">
      <c r="B36" s="21" t="n"/>
      <c r="C36" s="65" t="n">
        <v>24</v>
      </c>
      <c r="D36" s="52" t="inlineStr">
        <is>
          <t>Forms</t>
        </is>
      </c>
      <c r="E36" s="49" t="inlineStr">
        <is>
          <t>Are all form fields positioned within the boundaries of the form, and not overlapping or truncating, including:
- Labels
- Single line textboxes
- Multi-line textboxes
- Dropdown lists
- Radio buttons
- Checkboxes 
- Date pickers
- Tables 
- Grids 
- Menus and submenus 
- Images
- Drag and drop</t>
        </is>
      </c>
      <c r="F36" s="106" t="inlineStr">
        <is>
          <t>Pass</t>
        </is>
      </c>
      <c r="G36" s="102" t="inlineStr">
        <is>
          <t>On the login form the labels, the two text boxes and the button all sit inside the white box. The reflection text box and its button don't overlap either. Nothing is cut off.</t>
        </is>
      </c>
      <c r="H36" s="102" t="n"/>
      <c r="I36" s="105" t="n"/>
      <c r="J36" s="105" t="n"/>
      <c r="K36" s="102" t="n"/>
      <c r="L36" s="104" t="n">
        <v>4.28</v>
      </c>
    </row>
    <row r="37" ht="127.4" customHeight="1">
      <c r="B37" s="21" t="n"/>
      <c r="C37" s="65" t="n">
        <v>25</v>
      </c>
      <c r="D37" s="52" t="inlineStr">
        <is>
          <t>Forms</t>
        </is>
      </c>
      <c r="E37" s="49" t="inlineStr">
        <is>
          <t>Does tool tip text display correctly for each field, including:
- Single line textboxes
- Multi-line textboxes
- Dropdown lists
- Radio buttons
- Checkboxes 
- Date pickers
- Tables 
- Grids 
- Drag and drop</t>
        </is>
      </c>
      <c r="F37" s="106" t="inlineStr">
        <is>
          <t>Not applicable</t>
        </is>
      </c>
      <c r="G37" s="102" t="inlineStr">
        <is>
          <t>Our form fields don't have tooltips. Each field has a label above it instead ("Student email", "Password").</t>
        </is>
      </c>
      <c r="H37" s="102" t="n"/>
      <c r="I37" s="105" t="n"/>
      <c r="J37" s="105" t="n"/>
      <c r="K37" s="102" t="n"/>
      <c r="L37" s="104" t="n"/>
    </row>
    <row r="38" ht="158" customHeight="1">
      <c r="B38" s="21" t="n"/>
      <c r="C38" s="65" t="n">
        <v>26</v>
      </c>
      <c r="D38" s="52" t="inlineStr">
        <is>
          <t>Forms</t>
        </is>
      </c>
      <c r="E38" s="49" t="inlineStr">
        <is>
          <t>Can data be input into each field correctly, including:
- Single line textboxes
- Multi-line textboxes
- Dropdown lists
- Radio buttons
- Checkboxes 
- Date pickers
- Tables 
- Grids 
- Drag and drop
- Copy/paste</t>
        </is>
      </c>
      <c r="F38" s="106" t="inlineStr">
        <is>
          <t>Pass</t>
        </is>
      </c>
      <c r="G38" s="102" t="inlineStr">
        <is>
          <t>Typed letters, numbers and symbols into the email, password and reflection boxes, and picked an answer (radio button) in the quiz. Everything was accepted, and the password showed as dots. (Didn't test copy/paste because browsers block copying out of password boxes.)</t>
        </is>
      </c>
      <c r="H38" s="102" t="n"/>
      <c r="I38" s="105" t="n"/>
      <c r="J38" s="105" t="n"/>
      <c r="K38" s="102" t="n"/>
      <c r="L38" s="104" t="n">
        <v>7.81</v>
      </c>
    </row>
    <row r="39" ht="132" customHeight="1">
      <c r="B39" s="21" t="n"/>
      <c r="C39" s="65" t="n">
        <v>27</v>
      </c>
      <c r="D39" s="52" t="inlineStr">
        <is>
          <t>Forms</t>
        </is>
      </c>
      <c r="E39" s="49" t="inlineStr">
        <is>
          <t xml:space="preserve">When invalid/negative data is input into a field: 
- Are understandable error messages displayed? 
- Are error messages displayed at the right time (e.g. when focus leaves the field, or on save)?
- Are error messages positioned in the correct location?
- Are error validation icons (e.g. ticks, crosses) displayed in the correct location, colour and format? </t>
        </is>
      </c>
      <c r="F39" s="106" t="inlineStr">
        <is>
          <t>Pass</t>
        </is>
      </c>
      <c r="G39" s="102" t="inlineStr">
        <is>
          <t>Empty email: the browser said "Fill out this field". Email without @: "Enter an email address". Wrong password: a red message "Incorrect email or password." appeared above the Sign in button straight after I clicked it.</t>
        </is>
      </c>
      <c r="H39" s="102" t="n"/>
      <c r="I39" s="105" t="n"/>
      <c r="J39" s="105" t="n"/>
      <c r="K39" s="102" t="inlineStr">
        <is>
          <t>Compatibility Testing Evidence/iphone-invalid-login.png</t>
        </is>
      </c>
      <c r="L39" s="104" t="n">
        <v>1.79</v>
      </c>
    </row>
    <row r="40" ht="145" customHeight="1">
      <c r="B40" s="21" t="n"/>
      <c r="C40" s="65" t="n">
        <v>28</v>
      </c>
      <c r="D40" s="52" t="inlineStr">
        <is>
          <t>Forms</t>
        </is>
      </c>
      <c r="E40" s="49" t="inlineStr">
        <is>
          <t xml:space="preserve">When placeholder text is included in each form field, is the text: 
- Visible 
- Understandable
- Rendered in the correct colour (i.e. to differentiate from user inputs) </t>
        </is>
      </c>
      <c r="F40" s="106" t="inlineStr">
        <is>
          <t>Pass</t>
        </is>
      </c>
      <c r="G40" s="102" t="inlineStr">
        <is>
          <t>The reflection box shows the placeholder "What will you do differently for this outcome?" in grey, which is easy to understand and looks different from the text I type (black). The login boxes start with no placeholder (the email is filled in).</t>
        </is>
      </c>
      <c r="H40" s="102" t="n"/>
      <c r="I40" s="105" t="n"/>
      <c r="J40" s="105" t="n"/>
      <c r="K40" s="102" t="inlineStr">
        <is>
          <t>Compatibility Testing Evidence/iphone-outcome-lo4.png</t>
        </is>
      </c>
      <c r="L40" s="104" t="n">
        <v>4.83</v>
      </c>
    </row>
    <row r="41" ht="93" customHeight="1">
      <c r="B41" s="21" t="n"/>
      <c r="C41" s="65" t="n">
        <v>29</v>
      </c>
      <c r="D41" s="52" t="inlineStr">
        <is>
          <t>Forms</t>
        </is>
      </c>
      <c r="E41" s="49" t="inlineStr">
        <is>
          <t>Do form fields auto-complete correctly, using data previously saved by the browser?</t>
        </is>
      </c>
      <c r="F41" s="106" t="inlineStr">
        <is>
          <t>Not run</t>
        </is>
      </c>
      <c r="G41" s="102" t="inlineStr">
        <is>
          <t>The login boxes are set up for autofill (autocomplete="username" and "current-password"), but the test browser has no saved passwords so I couldn't try it.</t>
        </is>
      </c>
      <c r="H41" s="102" t="n"/>
      <c r="I41" s="105" t="n"/>
      <c r="J41" s="105" t="n"/>
      <c r="K41" s="102" t="n"/>
      <c r="L41" s="104" t="n"/>
    </row>
    <row r="42" ht="171" customHeight="1">
      <c r="A42" s="21" t="n"/>
      <c r="B42" s="21" t="n"/>
      <c r="C42" s="65" t="n">
        <v>30</v>
      </c>
      <c r="D42" s="53" t="inlineStr">
        <is>
          <t>Forms</t>
        </is>
      </c>
      <c r="E42" s="45" t="inlineStr">
        <is>
          <t xml:space="preserve">When the user submits a form (e.g. by clicking Save, Submit or OK):
- Is a visual indicator displayed to indicate that the form is saving (e.g. spinning wheel or progress bar)?
- After the form is saved/submitted, does an appropriate success message appear?
- Is the success message in the correct location, format and colour? </t>
        </is>
      </c>
      <c r="F42" s="100" t="inlineStr">
        <is>
          <t>Pass</t>
        </is>
      </c>
      <c r="G42" s="102" t="inlineStr">
        <is>
          <t>Login: the button changes to "Signing in…" and then the dashboard opens. Reflection: after "Add to my plan" it shows "Saved to your learning plan". Quiz: after the last answer it says "Scoring..." and then "Quiz complete" with my result. AI study plan: the button says "Generating..." and then my plan appears.</t>
        </is>
      </c>
      <c r="H42" s="102" t="n"/>
      <c r="I42" s="105" t="n"/>
      <c r="J42" s="105" t="n"/>
      <c r="K42" s="102" t="inlineStr">
        <is>
          <t>Compatibility Testing Evidence/iphone-quiz-results.png</t>
        </is>
      </c>
      <c r="L42" s="104" t="n">
        <v>17.15</v>
      </c>
    </row>
    <row r="43" ht="89.2" customFormat="1" customHeight="1" s="5">
      <c r="A43" s="28" t="n"/>
      <c r="B43" s="21" t="n"/>
      <c r="C43" s="65" t="n">
        <v>31</v>
      </c>
      <c r="D43" s="73" t="inlineStr">
        <is>
          <t>Interactions</t>
        </is>
      </c>
      <c r="E43" s="45" t="inlineStr">
        <is>
          <t>Do mouse inputs work correctly, including:
- Hover over (e.g. display tool tip text)
- Right mouse button click 
- Left mouse button click 
- Scroll wheel 
- Programmable mouse buttons
- Any other mouse buttons</t>
        </is>
      </c>
      <c r="F43" s="100" t="inlineStr">
        <is>
          <t>Not applicable</t>
        </is>
      </c>
      <c r="G43" s="102" t="inlineStr">
        <is>
          <t>Phones don't use a mouse. Touch is tested in test 33.</t>
        </is>
      </c>
      <c r="H43" s="102" t="n"/>
      <c r="I43" s="77" t="n"/>
      <c r="J43" s="77" t="n"/>
      <c r="K43" s="102" t="n"/>
      <c r="L43" s="104" t="n"/>
      <c r="M43" s="28" t="n"/>
    </row>
    <row r="44" ht="101.95" customFormat="1" customHeight="1" s="5">
      <c r="A44" s="28" t="n"/>
      <c r="B44" s="21" t="n"/>
      <c r="C44" s="65" t="n">
        <v>32</v>
      </c>
      <c r="D44" s="73" t="inlineStr">
        <is>
          <t>Interactions</t>
        </is>
      </c>
      <c r="E44" s="45" t="inlineStr">
        <is>
          <t>Do keyboard inputs work correctly, including:
- Letters
- Numbers
- Symbols
- Function keys (F1 to F12)
- Control keys (e.g. escape, control, command (Apple Mac) alt, shift, tab, print screen, enter, shift lock, num lock, etc.)
- Navigation keys (arrow keys, home, end, page up, page down)</t>
        </is>
      </c>
      <c r="F44" s="100" t="inlineStr">
        <is>
          <t>Pass</t>
        </is>
      </c>
      <c r="G44" s="102" t="inlineStr">
        <is>
          <t>Typed letters, numbers and symbols with the keyboard, Backspace deleted them, and pressing Go/Enter logged me in.</t>
        </is>
      </c>
      <c r="H44" s="102" t="n"/>
      <c r="I44" s="77" t="n"/>
      <c r="J44" s="77" t="n"/>
      <c r="K44" s="102" t="n"/>
      <c r="L44" s="104" t="n">
        <v>1.94</v>
      </c>
      <c r="M44" s="28" t="n"/>
    </row>
    <row r="45" ht="191.1" customFormat="1" customHeight="1" s="5">
      <c r="A45" s="28" t="n"/>
      <c r="B45" s="21" t="n"/>
      <c r="C45" s="65" t="n">
        <v>33</v>
      </c>
      <c r="D45" s="73" t="inlineStr">
        <is>
          <t>Interactions</t>
        </is>
      </c>
      <c r="E45" s="45" t="inlineStr">
        <is>
          <t>Do touchscreen and mobile inputs work correctly, including: 
- Tap
- Double tap
- Multi-touch
- Long press / tap-and-hold
- Swipe
- Scroll 
- Two-finger scroll
- Pinch (zoom in) and spread (zoom out)
- Rotate screen 
- Back navigation (e.g. back button or swipe)
- Forward navigation (e.g. swipe)
- System gestures (e.g. swipe up from bottom of screen)
- Stylus based input
- Voice input</t>
        </is>
      </c>
      <c r="F45" s="100" t="inlineStr">
        <is>
          <t>Pass</t>
        </is>
      </c>
      <c r="G45" s="102" t="inlineStr">
        <is>
          <t>Tapping works for the text boxes, buttons, top links and the account menu. The page scrolls, still fits after rotating the phone, and Sign out works by tapping. Couldn't test pinch zoom, long press, stylus or voice on the emulator.</t>
        </is>
      </c>
      <c r="H45" s="102" t="n"/>
      <c r="I45" s="77" t="n"/>
      <c r="J45" s="77" t="n"/>
      <c r="K45" s="102" t="n"/>
      <c r="L45" s="104" t="n">
        <v>3.48</v>
      </c>
      <c r="M45" s="28" t="n"/>
    </row>
    <row r="46" ht="101.95" customFormat="1" customHeight="1" s="5">
      <c r="A46" s="28" t="n"/>
      <c r="B46" s="21" t="n"/>
      <c r="C46" s="65" t="n">
        <v>34</v>
      </c>
      <c r="D46" s="73" t="inlineStr">
        <is>
          <t>Interactions</t>
        </is>
      </c>
      <c r="E46" s="45" t="inlineStr">
        <is>
          <t>Do smartwatch inputs work correctly, including: 
- Tap
- Swipe
- Long press (including on text, links, images and video)
- Button press
- Double button press
- Hard press 
- Voice input</t>
        </is>
      </c>
      <c r="F46" s="100" t="inlineStr">
        <is>
          <t>Not applicable</t>
        </is>
      </c>
      <c r="G46" s="102" t="inlineStr">
        <is>
          <t>The app isn't made for smartwatches.</t>
        </is>
      </c>
      <c r="H46" s="102" t="n"/>
      <c r="I46" s="77" t="n"/>
      <c r="J46" s="77" t="n"/>
      <c r="K46" s="102" t="n"/>
      <c r="L46" s="104" t="n"/>
      <c r="M46" s="28" t="n"/>
    </row>
    <row r="47" ht="331.2" customFormat="1" customHeight="1" s="5">
      <c r="A47" s="28" t="n"/>
      <c r="B47" s="21" t="n"/>
      <c r="C47" s="65" t="n">
        <v>35</v>
      </c>
      <c r="D47" s="73" t="inlineStr">
        <is>
          <t>Interactions</t>
        </is>
      </c>
      <c r="E47" s="45" t="inlineStr">
        <is>
          <t>Do joystick inputs work correctly, including: 
- Buttons
       * Primary buttons (e.g. A, B, X, Y)
       * Select/confirm button (enter equivalent)
       * Cancel/back (escape equivalent)
       * Context actions (e.g. shortcuts)
       * Shoulder/trigger buttons (L1, L2, R1, R2)
       * Paging (scroll between sections)
       * Secondary actions (e.g. zoom, rotate)
       * Start button
       * Menu button 
- Directions  
        * Up, down, left, right, diagonal (navigating menus, moving focus)
        * Continuous hold vs. single press (scroll vs. step)
- Analog behaviour
       * Dead zone testing (ensuring slight nudges do not move focus unintentionally)
       * Sensitivity testing (slow vs. fast movements)
       * Left and right sticks 
       * Circular movement 
- Gestures &amp; special inputs - e.g. 
       * Long press buttons 
       * Double-tap buttons 
       * Combination presses (e.g. L1 + R1 = action A)
- System inputs 
       * Home/dashboard button (does app handle pausing/losing focus gracefully?)
       * Power button interactions (suspend, resume)</t>
        </is>
      </c>
      <c r="F47" s="100" t="inlineStr">
        <is>
          <t>Not applicable</t>
        </is>
      </c>
      <c r="G47" s="102" t="inlineStr">
        <is>
          <t>The app isn't made for game controllers / joysticks.</t>
        </is>
      </c>
      <c r="H47" s="102" t="n"/>
      <c r="I47" s="77" t="n"/>
      <c r="J47" s="77" t="n"/>
      <c r="K47" s="102" t="n"/>
      <c r="L47" s="104" t="n"/>
      <c r="M47" s="28" t="n"/>
    </row>
    <row r="48" ht="28" customHeight="1">
      <c r="B48" s="21" t="n"/>
      <c r="C48" s="65" t="n">
        <v>36</v>
      </c>
      <c r="D48" s="64" t="inlineStr">
        <is>
          <t>File download</t>
        </is>
      </c>
      <c r="E48" s="41" t="inlineStr">
        <is>
          <t>Can files be downloaded correctly, including all supported file types, and for max file sizes?</t>
        </is>
      </c>
      <c r="F48" s="100" t="inlineStr">
        <is>
          <t>Not applicable</t>
        </is>
      </c>
      <c r="G48" s="102" t="inlineStr">
        <is>
          <t>The app doesn't have any file downloads.</t>
        </is>
      </c>
      <c r="H48" s="102" t="n"/>
      <c r="I48" s="105" t="n"/>
      <c r="J48" s="105" t="n"/>
      <c r="K48" s="102" t="n"/>
      <c r="L48" s="104" t="n"/>
    </row>
    <row r="49" ht="63.7" customHeight="1">
      <c r="B49" s="21" t="n"/>
      <c r="C49" s="65" t="n">
        <v>37</v>
      </c>
      <c r="D49" s="64" t="inlineStr">
        <is>
          <t>File download</t>
        </is>
      </c>
      <c r="E49" s="41" t="inlineStr">
        <is>
          <t>For each downloaded file: 
- Does the downloaded file open on the given device? 
- Are the file format, layout, fonts and styles correct?
- Is there no text overlapping or truncating?
- Are images displayed correctly?</t>
        </is>
      </c>
      <c r="F49" s="100" t="inlineStr">
        <is>
          <t>Not applicable</t>
        </is>
      </c>
      <c r="G49" s="102" t="inlineStr">
        <is>
          <t>The app doesn't have any file downloads.</t>
        </is>
      </c>
      <c r="H49" s="102" t="n"/>
      <c r="I49" s="105" t="n"/>
      <c r="J49" s="105" t="n"/>
      <c r="K49" s="102" t="n"/>
      <c r="L49" s="104" t="n"/>
    </row>
    <row r="50" ht="28" customFormat="1" customHeight="1" s="5">
      <c r="A50" s="28" t="n"/>
      <c r="B50" s="21" t="n"/>
      <c r="C50" s="65" t="n">
        <v>38</v>
      </c>
      <c r="D50" s="64" t="inlineStr">
        <is>
          <t>File download</t>
        </is>
      </c>
      <c r="E50" s="41" t="inlineStr">
        <is>
          <t>Is there a visual indicator displayed during the download process, so the user understands that a download is in progress (e.g. spinning wheel or progress bar)?</t>
        </is>
      </c>
      <c r="F50" s="100" t="inlineStr">
        <is>
          <t>Not applicable</t>
        </is>
      </c>
      <c r="G50" s="102" t="inlineStr">
        <is>
          <t>The app doesn't have any file downloads.</t>
        </is>
      </c>
      <c r="H50" s="102" t="n"/>
      <c r="I50" s="107" t="n"/>
      <c r="J50" s="77" t="n"/>
      <c r="K50" s="102" t="n"/>
      <c r="L50" s="104" t="n"/>
      <c r="M50" s="28" t="n"/>
    </row>
    <row r="51" ht="28" customFormat="1" customHeight="1" s="5">
      <c r="A51" s="28" t="n"/>
      <c r="B51" s="21" t="n"/>
      <c r="C51" s="65" t="n">
        <v>39</v>
      </c>
      <c r="D51" s="74" t="inlineStr">
        <is>
          <t>File upload</t>
        </is>
      </c>
      <c r="E51" s="41" t="inlineStr">
        <is>
          <t>Can files can uploaded successfully, across all supported file formats, including maximum file sizes?</t>
        </is>
      </c>
      <c r="F51" s="100" t="inlineStr">
        <is>
          <t>Not applicable</t>
        </is>
      </c>
      <c r="G51" s="102" t="inlineStr">
        <is>
          <t>The app doesn't have any file uploads.</t>
        </is>
      </c>
      <c r="H51" s="102" t="n"/>
      <c r="I51" s="107" t="n"/>
      <c r="J51" s="77" t="n"/>
      <c r="K51" s="102" t="n"/>
      <c r="L51" s="104" t="n"/>
      <c r="M51" s="28" t="n"/>
    </row>
    <row r="52" ht="28" customFormat="1" customHeight="1" s="5">
      <c r="A52" s="28" t="n"/>
      <c r="B52" s="21" t="n"/>
      <c r="C52" s="65" t="n">
        <v>40</v>
      </c>
      <c r="D52" s="74" t="inlineStr">
        <is>
          <t>File upload</t>
        </is>
      </c>
      <c r="E52" s="41" t="inlineStr">
        <is>
          <t>Is there a visual indicator displayed during the upload process, so the user understands that an upload is in progress (e.g. spinning wheel or progress bar)?</t>
        </is>
      </c>
      <c r="F52" s="100" t="inlineStr">
        <is>
          <t>Not applicable</t>
        </is>
      </c>
      <c r="G52" s="102" t="inlineStr">
        <is>
          <t>The app doesn't have any file uploads.</t>
        </is>
      </c>
      <c r="H52" s="102" t="n"/>
      <c r="I52" s="107" t="n"/>
      <c r="J52" s="77" t="n"/>
      <c r="K52" s="102" t="n"/>
      <c r="L52" s="104" t="n"/>
      <c r="M52" s="28" t="n"/>
    </row>
    <row r="53" ht="38.25" customFormat="1" customHeight="1" s="5">
      <c r="A53" s="28" t="n"/>
      <c r="B53" s="21" t="n"/>
      <c r="C53" s="65" t="n">
        <v>41</v>
      </c>
      <c r="D53" s="74" t="inlineStr">
        <is>
          <t>File upload</t>
        </is>
      </c>
      <c r="E53" s="41" t="inlineStr">
        <is>
          <t xml:space="preserve">Is a suitable error message displayed for:
- File sizes that are too big 
- Incorrect file formats? </t>
        </is>
      </c>
      <c r="F53" s="100" t="inlineStr">
        <is>
          <t>Not applicable</t>
        </is>
      </c>
      <c r="G53" s="102" t="inlineStr">
        <is>
          <t>The app doesn't have any file uploads.</t>
        </is>
      </c>
      <c r="H53" s="102" t="n"/>
      <c r="I53" s="107" t="n"/>
      <c r="J53" s="77" t="n"/>
      <c r="K53" s="102" t="n"/>
      <c r="L53" s="104" t="n"/>
      <c r="M53" s="28" t="n"/>
    </row>
    <row r="54" ht="184" customHeight="1">
      <c r="B54" s="21" t="n"/>
      <c r="C54" s="65" t="n">
        <v>42</v>
      </c>
      <c r="D54" s="63" t="inlineStr">
        <is>
          <t>Links and navigation</t>
        </is>
      </c>
      <c r="E54" s="45" t="inlineStr">
        <is>
          <t>Is the user able to:  
- Navigate to each field on the page
- Navigate to each link on the page 
- Activate each link on the page 
- Navigate to each menu option on the page 
- Activate each menu option on the page 
- Utilise fields on pop-up screens
- Navigate to next page and previous page 
- Navigate to home page 
- Navigate via voice input</t>
        </is>
      </c>
      <c r="F54" s="100" t="inlineStr">
        <is>
          <t>Pass</t>
        </is>
      </c>
      <c r="G54" s="102" t="inlineStr">
        <is>
          <t>I could reach every field (Email -&gt; Password -&gt; Sign in) using Option+Tab, because Safari's Tab skips buttons by default. The top links go to Dashboard, Plan and Trends, an outcome opens from the dashboard and the browser Back button returns. Refreshing keeps me logged in and Sign out (account menu) takes me back to the login page.</t>
        </is>
      </c>
      <c r="H54" s="102" t="n"/>
      <c r="I54" s="105" t="n"/>
      <c r="J54" s="105" t="n"/>
      <c r="K54" s="102" t="n"/>
      <c r="L54" s="104" t="n">
        <v>5.92</v>
      </c>
    </row>
    <row r="55" ht="80" customHeight="1">
      <c r="B55" s="21" t="n"/>
      <c r="C55" s="65" t="n">
        <v>43</v>
      </c>
      <c r="D55" s="54" t="inlineStr">
        <is>
          <t>Links and navigation</t>
        </is>
      </c>
      <c r="E55" s="45" t="inlineStr">
        <is>
          <t>Do all hyperlinks function correctly, in terms of:
- Hover over (showing tool tip text)
- Left mouse click 
- Keyboard activate (tab to the link and hit enter)
- Long-press / tap-and-hold</t>
        </is>
      </c>
      <c r="F55" s="106" t="inlineStr">
        <is>
          <t>Pass</t>
        </is>
      </c>
      <c r="G55" s="102" t="inlineStr">
        <is>
          <t>The links (top bar, learning outcomes, "Open -&gt;" in the plan) open the right page when tapped. Links don't have tooltips.</t>
        </is>
      </c>
      <c r="H55" s="102" t="n"/>
      <c r="I55" s="105" t="n"/>
      <c r="J55" s="105" t="n"/>
      <c r="K55" s="102" t="n"/>
      <c r="L55" s="104" t="n">
        <v>4.31</v>
      </c>
    </row>
    <row r="56" ht="63.7" customHeight="1">
      <c r="B56" s="21" t="n"/>
      <c r="C56" s="65" t="n">
        <v>44</v>
      </c>
      <c r="D56" s="54" t="inlineStr">
        <is>
          <t>Links and navigation</t>
        </is>
      </c>
      <c r="E56" s="45" t="inlineStr">
        <is>
          <t>Can the user navigate within the web page using the keyboard only, including: 
- Page up 
- Page down 
- Arrow keys 
- Tab / shift tab</t>
        </is>
      </c>
      <c r="F56" s="106" t="inlineStr">
        <is>
          <t>Not applicable</t>
        </is>
      </c>
      <c r="G56" s="102" t="inlineStr">
        <is>
          <t>Phones don't have Page Up / Page Down or arrow keys.</t>
        </is>
      </c>
      <c r="H56" s="102" t="n"/>
      <c r="I56" s="105" t="n"/>
      <c r="J56" s="105" t="n"/>
      <c r="K56" s="102" t="n"/>
      <c r="L56" s="104" t="n"/>
    </row>
    <row r="57" ht="54" customHeight="1">
      <c r="B57" s="21" t="n"/>
      <c r="C57" s="65" t="n">
        <v>45</v>
      </c>
      <c r="D57" s="72" t="inlineStr">
        <is>
          <t>Haptic feedback</t>
        </is>
      </c>
      <c r="E57" s="45" t="inlineStr">
        <is>
          <t xml:space="preserve">For devices, does haptic feedback work correctly including for: 
- Links 
- Buttons 
- Input fields </t>
        </is>
      </c>
      <c r="F57" s="106" t="inlineStr">
        <is>
          <t>Not applicable</t>
        </is>
      </c>
      <c r="G57" s="102" t="inlineStr">
        <is>
          <t>Vibration (haptic feedback) can't be felt on an emulator, and the app doesn't use vibration.</t>
        </is>
      </c>
      <c r="H57" s="102" t="n"/>
      <c r="I57" s="105" t="n"/>
      <c r="J57" s="105" t="n"/>
      <c r="K57" s="102" t="n"/>
      <c r="L57" s="104" t="n"/>
    </row>
    <row r="58" ht="38.25" customHeight="1">
      <c r="B58" s="21" t="n"/>
      <c r="C58" s="65" t="n">
        <v>46</v>
      </c>
      <c r="D58" s="54" t="inlineStr">
        <is>
          <t>Search field</t>
        </is>
      </c>
      <c r="E58" s="45" t="inlineStr">
        <is>
          <t xml:space="preserve">Is the search bar:
- Displayed in the correctly location? 
- Expand when clicked/in focus (if applicable)? </t>
        </is>
      </c>
      <c r="F58" s="106" t="inlineStr">
        <is>
          <t>Not applicable</t>
        </is>
      </c>
      <c r="G58" s="102" t="inlineStr">
        <is>
          <t>The app doesn't have a search bar.</t>
        </is>
      </c>
      <c r="H58" s="102" t="n"/>
      <c r="I58" s="105" t="n"/>
      <c r="J58" s="105" t="n"/>
      <c r="K58" s="102" t="n"/>
      <c r="L58" s="104" t="n"/>
    </row>
    <row r="59" ht="80" customHeight="1">
      <c r="A59" s="40" t="n"/>
      <c r="C59" s="65" t="n">
        <v>47</v>
      </c>
      <c r="D59" s="72" t="inlineStr">
        <is>
          <t xml:space="preserve">Printing </t>
        </is>
      </c>
      <c r="E59" s="49" t="inlineStr">
        <is>
          <t>Does print functionality work correctly including for: 
- Font style and size
- Page alignment 
- Page graphics 
- Page fits to the paper size 
- Print preview</t>
        </is>
      </c>
      <c r="F59" s="106" t="inlineStr">
        <is>
          <t>Pass</t>
        </is>
      </c>
      <c r="G59" s="102" t="inlineStr">
        <is>
          <t>Checked the print view of the dashboard at A4 size. Text, fonts and the mastery bars fit on the page and nothing was cut off.</t>
        </is>
      </c>
      <c r="H59" s="102" t="n"/>
      <c r="I59" s="105" t="n"/>
      <c r="J59" s="105" t="n"/>
      <c r="K59" s="102" t="inlineStr">
        <is>
          <t>Compatibility Testing Evidence/iphone-print-preview.png</t>
        </is>
      </c>
      <c r="L59" s="104" t="n">
        <v>2.49</v>
      </c>
    </row>
    <row r="60">
      <c r="B60" s="21" t="n"/>
      <c r="C60" s="30" t="n"/>
      <c r="D60" s="30" t="n"/>
      <c r="E60" s="31" t="n"/>
      <c r="F60" s="32" t="n"/>
      <c r="G60" s="32" t="n"/>
      <c r="H60" s="32" t="n"/>
      <c r="I60" s="32" t="n"/>
      <c r="J60" s="32" t="n"/>
      <c r="K60" s="32" t="n"/>
      <c r="L60" s="24" t="n"/>
    </row>
    <row r="61">
      <c r="B61" s="21" t="n"/>
      <c r="C61" s="33" t="n"/>
      <c r="E61" s="34" t="n"/>
      <c r="F61" s="35" t="n"/>
      <c r="G61" s="35" t="n"/>
      <c r="H61" s="35" t="n"/>
      <c r="I61" s="35" t="n"/>
      <c r="J61" s="35" t="n"/>
      <c r="K61" s="35" t="n"/>
      <c r="L61" s="24" t="n"/>
    </row>
    <row r="62" ht="13.3" customHeight="1" thickBot="1">
      <c r="B62" s="36" t="n"/>
      <c r="C62" s="37" t="inlineStr">
        <is>
          <t xml:space="preserve">© Planit </t>
        </is>
      </c>
      <c r="D62" s="38" t="n"/>
      <c r="E62" s="38" t="n"/>
      <c r="F62" s="39" t="n"/>
      <c r="G62" s="39" t="n"/>
      <c r="H62" s="39" t="n"/>
      <c r="I62" s="39" t="n"/>
      <c r="J62" s="39" t="n"/>
      <c r="K62" s="39" t="n"/>
      <c r="L62" s="29" t="n"/>
    </row>
    <row r="63">
      <c r="G63" s="10" t="n"/>
      <c r="H63" s="10" t="n"/>
      <c r="K63" s="10" t="n"/>
    </row>
    <row r="64">
      <c r="C64" s="11" t="n"/>
      <c r="D64" s="108" t="inlineStr">
        <is>
          <t>Test Metrics</t>
        </is>
      </c>
      <c r="G64" s="10" t="n"/>
      <c r="H64" s="10" t="n"/>
      <c r="K64" s="10" t="n"/>
    </row>
    <row r="65">
      <c r="C65" s="13" t="n"/>
      <c r="D65" s="14" t="n"/>
      <c r="E65" s="109" t="inlineStr">
        <is>
          <t>Total checks in the checklist</t>
        </is>
      </c>
      <c r="F65" s="110">
        <f>COUNTA(C13:C59)</f>
        <v>47.0</v>
      </c>
      <c r="G65" s="10" t="n"/>
      <c r="H65" s="10" t="n"/>
      <c r="K65" s="10" t="n"/>
    </row>
    <row r="66">
      <c r="C66" s="13" t="n"/>
      <c r="D66" s="14" t="n"/>
      <c r="E66" s="109" t="inlineStr">
        <is>
          <t>Tests executed (Pass + Fail)</t>
        </is>
      </c>
      <c r="F66" s="110">
        <f>COUNTIF(F13:F59,"Pass")+COUNTIF(F13:F59,"Fail")</f>
        <v>23.0</v>
      </c>
    </row>
    <row r="67">
      <c r="C67" s="13" t="n"/>
      <c r="D67" s="14" t="n"/>
      <c r="E67" s="109" t="inlineStr">
        <is>
          <t>Passed</t>
        </is>
      </c>
      <c r="F67" s="110">
        <f>COUNTIF(F13:F59,"Pass")</f>
        <v>23.0</v>
      </c>
    </row>
    <row r="68">
      <c r="C68" s="11" t="n"/>
      <c r="D68" s="12" t="n"/>
      <c r="E68" s="109" t="inlineStr">
        <is>
          <t>Failed</t>
        </is>
      </c>
      <c r="F68" s="110">
        <f>COUNTIF(F13:F59,"Fail")</f>
        <v>0.0</v>
      </c>
    </row>
    <row r="69">
      <c r="C69" s="11" t="n"/>
      <c r="D69" s="12" t="n"/>
      <c r="E69" s="109" t="inlineStr">
        <is>
          <t>Not run</t>
        </is>
      </c>
      <c r="F69" s="110">
        <f>COUNTIF(F13:F59,"Not run")</f>
        <v>1.0</v>
      </c>
    </row>
    <row r="70">
      <c r="E70" s="109" t="inlineStr">
        <is>
          <t>Not applicable</t>
        </is>
      </c>
      <c r="F70" s="110">
        <f>COUNTIF(F13:F59,"Not applicable")</f>
        <v>23.0</v>
      </c>
    </row>
    <row r="71">
      <c r="E71" s="109" t="inlineStr">
        <is>
          <t>Total time taken to execute the tests (sec)</t>
        </is>
      </c>
      <c r="F71" s="111">
        <f>SUM(L13:L59)</f>
        <v>146.6</v>
      </c>
    </row>
    <row r="72">
      <c r="E72" s="109" t="inlineStr">
        <is>
          <t>Average time taken per test (sec)</t>
        </is>
      </c>
      <c r="F72" s="111">
        <f>IFERROR(F71/F66,0)</f>
        <v>6.373913043478261</v>
      </c>
    </row>
    <row r="73">
      <c r="E73" s="109" t="inlineStr">
        <is>
          <t>Pass rate</t>
        </is>
      </c>
      <c r="F73" s="112">
        <f>IFERROR(F67/F66,0)</f>
        <v>1.0</v>
      </c>
    </row>
    <row r="74">
      <c r="E74" s="109" t="inlineStr">
        <is>
          <t>Failure rate</t>
        </is>
      </c>
      <c r="F74" s="112">
        <f>IFERROR(F68/F66,0)</f>
        <v>0.0</v>
      </c>
    </row>
    <row r="75">
      <c r="E75" s="113" t="inlineStr">
        <is>
          <t>Pass rate = Passed ÷ Tests executed. "Not applicable" and "Not run" tests are not counted in the rates or the average.</t>
        </is>
      </c>
    </row>
  </sheetData>
  <conditionalFormatting sqref="F13:K59">
    <cfRule type="cellIs" priority="1" operator="equal" dxfId="5" stopIfTrue="1">
      <formula>RiskAccepted</formula>
    </cfRule>
    <cfRule type="cellIs" priority="2" operator="equal" dxfId="4" stopIfTrue="1">
      <formula>Conforming</formula>
    </cfRule>
    <cfRule type="cellIs" priority="3" operator="equal" dxfId="3" stopIfTrue="1">
      <formula>NotConforming</formula>
    </cfRule>
    <cfRule type="cellIs" priority="4" operator="equal" dxfId="2" stopIfTrue="1">
      <formula>OutOfScope</formula>
    </cfRule>
  </conditionalFormatting>
  <conditionalFormatting sqref="I13:J58">
    <cfRule type="colorScale" priority="71">
      <colorScale>
        <cfvo type="min"/>
        <cfvo type="max"/>
        <color rgb="FFFF7128"/>
        <color rgb="FFFFEF9C"/>
      </colorScale>
    </cfRule>
  </conditionalFormatting>
  <conditionalFormatting sqref="I59:J59">
    <cfRule type="colorScale" priority="7">
      <colorScale>
        <cfvo type="min"/>
        <cfvo type="max"/>
        <color rgb="FFFF7128"/>
        <color rgb="FFFFEF9C"/>
      </colorScale>
    </cfRule>
  </conditionalFormatting>
  <conditionalFormatting sqref="I13:K59">
    <cfRule type="cellIs" priority="31" operator="equal" dxfId="1">
      <formula>"Major"</formula>
    </cfRule>
    <cfRule type="cellIs" priority="32" operator="equal" dxfId="0">
      <formula>"Minor"</formula>
    </cfRule>
  </conditionalFormatting>
  <conditionalFormatting sqref="F13:F59">
    <cfRule type="cellIs" priority="9" operator="equal" dxfId="6">
      <formula>"Pass"</formula>
    </cfRule>
    <cfRule type="cellIs" priority="10" operator="equal" dxfId="7">
      <formula>"Fail"</formula>
    </cfRule>
  </conditionalFormatting>
  <dataValidations count="2">
    <dataValidation sqref="F13:F59" showDropDown="0" showInputMessage="0" showErrorMessage="0" allowBlank="1" type="list">
      <formula1>Status</formula1>
    </dataValidation>
    <dataValidation sqref="I13:I59" showDropDown="0" showInputMessage="0" showErrorMessage="0" allowBlank="1" type="list">
      <formula1>Variables!$D$2:$D$3</formula1>
    </dataValidation>
  </dataValidations>
  <pageMargins left="0.2362204724409449" right="0.2362204724409449" top="0.7480314960629921" bottom="0.7480314960629921" header="0.3149606299212598" footer="0.3149606299212598"/>
  <pageSetup orientation="landscape" paperSize="9"/>
  <drawing xmlns:r="http://schemas.openxmlformats.org/officeDocument/2006/relationships" r:id="rId1"/>
</worksheet>
</file>

<file path=xl/worksheets/sheet6.xml><?xml version="1.0" encoding="utf-8"?>
<worksheet xmlns="http://schemas.openxmlformats.org/spreadsheetml/2006/main">
  <sheetPr codeName="Sheet1">
    <tabColor theme="7" tint="0.3999755851924192"/>
    <outlinePr summaryBelow="1" summaryRight="1"/>
    <pageSetUpPr/>
  </sheetPr>
  <dimension ref="A2:M75"/>
  <sheetViews>
    <sheetView showGridLines="0" workbookViewId="0">
      <pane ySplit="12" topLeftCell="A13" activePane="bottomLeft" state="frozen"/>
      <selection pane="bottomLeft" activeCell="A1" sqref="A1"/>
    </sheetView>
  </sheetViews>
  <sheetFormatPr baseColWidth="8" defaultColWidth="9.09765625" defaultRowHeight="12.75" customHeight="1"/>
  <cols>
    <col width="2.8984375" customWidth="1" style="6" min="1" max="1"/>
    <col width="4.296875" customWidth="1" style="6" min="2" max="2"/>
    <col width="7.59765625" customWidth="1" style="7" min="3" max="3"/>
    <col width="21.8984375" customWidth="1" style="8" min="4" max="4"/>
    <col width="72" customWidth="1" style="9" min="5" max="5"/>
    <col width="14.59765625" bestFit="1" customWidth="1" style="6" min="6" max="6"/>
    <col width="24.59765625" customWidth="1" style="6" min="7" max="7"/>
    <col width="18.19921875" customWidth="1" style="6" min="8" max="8"/>
    <col width="19.3984375" bestFit="1" customWidth="1" style="6" min="9" max="9"/>
    <col width="19.3984375" customWidth="1" style="6" min="10" max="10"/>
    <col width="25" customWidth="1" style="6" min="11" max="11"/>
    <col width="16" customWidth="1" style="6" min="12" max="12"/>
    <col width="3.296875" customWidth="1" style="6" min="13" max="13"/>
    <col width="9.09765625" customWidth="1" style="3" min="14" max="16384"/>
  </cols>
  <sheetData>
    <row r="1" ht="13.3" customHeight="1" thickBot="1"/>
    <row r="2">
      <c r="B2" s="15" t="n"/>
      <c r="C2" s="16" t="n"/>
      <c r="D2" s="17" t="n"/>
      <c r="E2" s="18" t="n"/>
      <c r="F2" s="19" t="n"/>
      <c r="G2" s="19" t="n"/>
      <c r="H2" s="19" t="n"/>
      <c r="I2" s="19" t="n"/>
      <c r="J2" s="19" t="n"/>
      <c r="K2" s="19" t="n"/>
      <c r="L2" s="20" t="n"/>
    </row>
    <row r="3" ht="25.5" customHeight="1">
      <c r="B3" s="21" t="n"/>
      <c r="C3" s="22" t="inlineStr">
        <is>
          <t>Compatibility Testing Checklist</t>
        </is>
      </c>
      <c r="E3" s="23" t="n"/>
      <c r="F3" s="23" t="n"/>
      <c r="G3" s="23" t="n"/>
      <c r="H3" s="23" t="n"/>
      <c r="I3" s="23" t="n"/>
      <c r="J3" s="23" t="n"/>
      <c r="K3" s="23" t="n"/>
      <c r="L3" s="24" t="n"/>
    </row>
    <row r="4">
      <c r="B4" s="21" t="n"/>
      <c r="L4" s="24" t="n"/>
    </row>
    <row r="5">
      <c r="B5" s="21" t="n"/>
      <c r="C5" s="3" t="n"/>
      <c r="D5" s="55" t="inlineStr">
        <is>
          <t xml:space="preserve">Test object: </t>
        </is>
      </c>
      <c r="E5" s="98" t="inlineStr">
        <is>
          <t>Learning Journey Assistant (https://learning-journey-app.onrender.com)</t>
        </is>
      </c>
      <c r="F5" s="57" t="inlineStr">
        <is>
          <t xml:space="preserve">Name of the system being tested </t>
        </is>
      </c>
      <c r="L5" s="24" t="n"/>
    </row>
    <row r="6" ht="26" customHeight="1">
      <c r="B6" s="21" t="n"/>
      <c r="C6" s="3" t="n"/>
      <c r="D6" s="55" t="inlineStr">
        <is>
          <t>Test basis:</t>
        </is>
      </c>
      <c r="E6" s="98" t="inlineStr">
        <is>
          <t>Project proposal must-haves and user stories: a student signs in, sees their mastery dashboard (strengths, skill gaps, progress trends), opens a learning outcome, takes an adaptive AI quiz and generates a learning plan. Also past experience with similar web apps.</t>
        </is>
      </c>
      <c r="F6" s="57" t="inlineStr">
        <is>
          <t>What test design is based on - for example, requirements, epics, user stories, or past experience with similar systems</t>
        </is>
      </c>
      <c r="L6" s="24" t="n"/>
    </row>
    <row r="7">
      <c r="B7" s="21" t="n"/>
      <c r="C7" s="3" t="n"/>
      <c r="D7" s="55" t="inlineStr">
        <is>
          <t>Page name:</t>
        </is>
      </c>
      <c r="E7" s="98" t="inlineStr">
        <is>
          <t>Login, Dashboard, Outcome detail, Quiz, Learning plan, Trends and Profile</t>
        </is>
      </c>
      <c r="F7" s="57" t="inlineStr">
        <is>
          <t>Name of the page or tab being tested</t>
        </is>
      </c>
      <c r="L7" s="24" t="n"/>
    </row>
    <row r="8" ht="26" customHeight="1">
      <c r="B8" s="21" t="n"/>
      <c r="C8" s="3" t="n"/>
      <c r="D8" s="55" t="inlineStr">
        <is>
          <t>Environment details:</t>
        </is>
      </c>
      <c r="E8" s="98" t="inlineStr">
        <is>
          <t>Google Pixel 7 emulator (Android, Chrome 154.0.8037.95) on macOS, screen 412x839, touch on. Tests run with a Playwright automation script.</t>
        </is>
      </c>
      <c r="F8" s="57" t="inlineStr">
        <is>
          <t>Describe the test environment - e.g. Apple iPhone X running iOS Y, Edge browser version aa.bb</t>
        </is>
      </c>
      <c r="L8" s="24" t="n"/>
    </row>
    <row r="9">
      <c r="B9" s="21" t="n"/>
      <c r="C9" s="3" t="n"/>
      <c r="D9" s="55" t="inlineStr">
        <is>
          <t>Tester name:</t>
        </is>
      </c>
      <c r="E9" s="98" t="inlineStr">
        <is>
          <t>Ritik Rayamajhi</t>
        </is>
      </c>
      <c r="F9" s="57" t="inlineStr">
        <is>
          <t>Name of the person performing the testing</t>
        </is>
      </c>
      <c r="L9" s="24" t="n"/>
    </row>
    <row r="10">
      <c r="B10" s="21" t="n"/>
      <c r="C10" s="3" t="n"/>
      <c r="D10" s="55" t="inlineStr">
        <is>
          <t>Date tested:</t>
        </is>
      </c>
      <c r="E10" s="99" t="n">
        <v>46302</v>
      </c>
      <c r="F10" s="57" t="inlineStr">
        <is>
          <t>Date tests were run on</t>
        </is>
      </c>
      <c r="L10" s="24" t="n"/>
    </row>
    <row r="11">
      <c r="B11" s="21" t="n"/>
      <c r="L11" s="24" t="n"/>
    </row>
    <row r="12" ht="25.5" customFormat="1" customHeight="1" s="4">
      <c r="A12" s="26" t="n"/>
      <c r="B12" s="21" t="n"/>
      <c r="C12" s="66" t="inlineStr">
        <is>
          <t>ID</t>
        </is>
      </c>
      <c r="D12" s="67" t="inlineStr">
        <is>
          <t>Perspective</t>
        </is>
      </c>
      <c r="E12" s="68" t="inlineStr">
        <is>
          <t>Checklist</t>
        </is>
      </c>
      <c r="F12" s="68" t="inlineStr">
        <is>
          <t>Result</t>
        </is>
      </c>
      <c r="G12" s="69" t="inlineStr">
        <is>
          <t>Comments</t>
        </is>
      </c>
      <c r="H12" s="69" t="inlineStr">
        <is>
          <t>Defect ID</t>
        </is>
      </c>
      <c r="I12" s="70" t="inlineStr">
        <is>
          <t>Defect Severity</t>
        </is>
      </c>
      <c r="J12" s="70" t="inlineStr">
        <is>
          <t>Defect Details</t>
        </is>
      </c>
      <c r="K12" s="69" t="inlineStr">
        <is>
          <t>Test Evidence</t>
        </is>
      </c>
      <c r="L12" s="69" t="inlineStr">
        <is>
          <t>Time Taken (sec)</t>
        </is>
      </c>
      <c r="M12" s="26" t="n"/>
    </row>
    <row r="13" ht="93" customHeight="1">
      <c r="B13" s="21" t="n"/>
      <c r="C13" s="65" t="n">
        <v>1</v>
      </c>
      <c r="D13" s="71" t="inlineStr">
        <is>
          <t>Page structure</t>
        </is>
      </c>
      <c r="E13" s="41" t="inlineStr">
        <is>
          <t>Has the correct page template, style sheet and/or structure been used, matching company and project requirements?</t>
        </is>
      </c>
      <c r="F13" s="100" t="inlineStr">
        <is>
          <t>Pass</t>
        </is>
      </c>
      <c r="G13" s="101" t="inlineStr">
        <is>
          <t>Every page uses the same layout: the top bar with Dashboard / Plan / Trends and the account button, then white rounded cards on a light background.</t>
        </is>
      </c>
      <c r="H13" s="102" t="n"/>
      <c r="I13" s="103" t="n"/>
      <c r="J13" s="77" t="n"/>
      <c r="K13" s="102" t="inlineStr">
        <is>
          <t>Compatibility Testing Evidence/android-dashboard.png</t>
        </is>
      </c>
      <c r="L13" s="104" t="n">
        <v>15.8</v>
      </c>
    </row>
    <row r="14" ht="119" customHeight="1">
      <c r="B14" s="21" t="n"/>
      <c r="C14" s="65" t="n">
        <v>2</v>
      </c>
      <c r="D14" s="71" t="inlineStr">
        <is>
          <t>Page structure</t>
        </is>
      </c>
      <c r="E14" s="45" t="inlineStr">
        <is>
          <t xml:space="preserve">Do page colours and fonts match company branding? </t>
        </is>
      </c>
      <c r="F14" s="100" t="inlineStr">
        <is>
          <t>Pass</t>
        </is>
      </c>
      <c r="G14" s="102" t="inlineStr">
        <is>
          <t>We don't have an official brand guide, so I checked the colours are consistent: the main buttons are the same dark colour on every page and the accent colour (#c0362c, La Trobe red) is used for icons and links.</t>
        </is>
      </c>
      <c r="H14" s="102" t="n"/>
      <c r="I14" s="105" t="n"/>
      <c r="J14" s="105" t="n"/>
      <c r="K14" s="102" t="n"/>
      <c r="L14" s="104" t="n">
        <v>4.17</v>
      </c>
    </row>
    <row r="15" ht="54" customHeight="1">
      <c r="B15" s="21" t="n"/>
      <c r="C15" s="65" t="n">
        <v>3</v>
      </c>
      <c r="D15" s="71" t="inlineStr">
        <is>
          <t>Page structure</t>
        </is>
      </c>
      <c r="E15" s="45" t="inlineStr">
        <is>
          <t>Does the page description (e.g. in the title bar or tab) correctly reflect the page content?</t>
        </is>
      </c>
      <c r="F15" s="100" t="inlineStr">
        <is>
          <t>Pass</t>
        </is>
      </c>
      <c r="G15" s="102" t="inlineStr">
        <is>
          <t>The browser tab says "Learning Journey Assistant" on all 6 pages, which matches the app.</t>
        </is>
      </c>
      <c r="H15" s="102" t="n"/>
      <c r="I15" s="105" t="n"/>
      <c r="J15" s="105" t="n"/>
      <c r="K15" s="102" t="n"/>
      <c r="L15" s="104" t="n">
        <v>10.67</v>
      </c>
    </row>
    <row r="16" ht="106" customHeight="1">
      <c r="B16" s="21" t="n"/>
      <c r="C16" s="65" t="n">
        <v>4</v>
      </c>
      <c r="D16" s="71" t="inlineStr">
        <is>
          <t>Page structure</t>
        </is>
      </c>
      <c r="E16" s="45" t="inlineStr">
        <is>
          <t xml:space="preserve">Have correct and consistent fonts, text sizes and text positions been used, including: 
- Header 
- Menu bar 
- Body/content 
- Input and output fields
- Buttons (e.g. Next/Previous, Submit/Cancel etc.) 
- Footer </t>
        </is>
      </c>
      <c r="F16" s="100" t="inlineStr">
        <is>
          <t>Pass</t>
        </is>
      </c>
      <c r="G16" s="102" t="inlineStr">
        <is>
          <t>The top bar, page text, form fields and buttons all use the same font. Headings are bigger/bolder and small notes are smaller, and nothing overlaps. (There is no footer.)</t>
        </is>
      </c>
      <c r="H16" s="102" t="n"/>
      <c r="I16" s="105" t="n"/>
      <c r="J16" s="105" t="n"/>
      <c r="K16" s="102" t="n"/>
      <c r="L16" s="104" t="n">
        <v>2.56</v>
      </c>
    </row>
    <row r="17" ht="67.59999999999999" customHeight="1">
      <c r="B17" s="21" t="n"/>
      <c r="C17" s="65" t="n">
        <v>5</v>
      </c>
      <c r="D17" s="71" t="inlineStr">
        <is>
          <t>Page structure</t>
        </is>
      </c>
      <c r="E17" s="45" t="inlineStr">
        <is>
          <t>Does the page display correctly across different screen resolutions, including:
- High definition (HD) 
- Recommended display setting (on computer)
- Lowest display setting (on computer)
- Devices (e.g. mobile, tablet, watch)</t>
        </is>
      </c>
      <c r="F17" s="100" t="inlineStr">
        <is>
          <t>Pass</t>
        </is>
      </c>
      <c r="G17" s="102" t="inlineStr">
        <is>
          <t>Checked all 5 pages in portrait (412x839) and landscape (839x412). Everything fit the screen.</t>
        </is>
      </c>
      <c r="H17" s="102" t="n"/>
      <c r="I17" s="105" t="n"/>
      <c r="J17" s="105" t="n"/>
      <c r="K17" s="102" t="inlineStr">
        <is>
          <t>Compatibility Testing Evidence/android-resolution-small.png</t>
        </is>
      </c>
      <c r="L17" s="104" t="n">
        <v>14.16</v>
      </c>
    </row>
    <row r="18" ht="67" customHeight="1">
      <c r="B18" s="21" t="n"/>
      <c r="C18" s="65" t="n">
        <v>6</v>
      </c>
      <c r="D18" s="71" t="inlineStr">
        <is>
          <t>Page structure</t>
        </is>
      </c>
      <c r="E18" s="45" t="inlineStr">
        <is>
          <t>Does the page scroll smoothly without lagging?</t>
        </is>
      </c>
      <c r="F18" s="100" t="inlineStr">
        <is>
          <t>Pass</t>
        </is>
      </c>
      <c r="G18" s="102" t="inlineStr">
        <is>
          <t>Scrolled the dashboard from top to bottom. It was smooth with no lag (about 61 frames per second).</t>
        </is>
      </c>
      <c r="H18" s="102" t="n"/>
      <c r="I18" s="105" t="n"/>
      <c r="J18" s="105" t="n"/>
      <c r="K18" s="102" t="n"/>
      <c r="L18" s="104" t="n">
        <v>3.46</v>
      </c>
    </row>
    <row r="19" ht="67" customHeight="1">
      <c r="B19" s="21" t="n"/>
      <c r="C19" s="65" t="n">
        <v>7</v>
      </c>
      <c r="D19" s="71" t="inlineStr">
        <is>
          <t>Page structure</t>
        </is>
      </c>
      <c r="E19" s="45" t="inlineStr">
        <is>
          <t>Is the page content viewable without the need for a horizontal scroll bar? (horizontal scrolling is generally not recommended/preferred)</t>
        </is>
      </c>
      <c r="F19" s="100" t="inlineStr">
        <is>
          <t>Pass</t>
        </is>
      </c>
      <c r="G19" s="102" t="inlineStr">
        <is>
          <t>No horizontal scroll bar on any of the 7 pages (login, dashboard, outcome, quiz, plan, trends, profile).</t>
        </is>
      </c>
      <c r="H19" s="102" t="n"/>
      <c r="I19" s="105" t="n"/>
      <c r="J19" s="105" t="n"/>
      <c r="K19" s="102" t="n"/>
      <c r="L19" s="104" t="n">
        <v>15.11</v>
      </c>
    </row>
    <row r="20" ht="93" customHeight="1">
      <c r="B20" s="21" t="n"/>
      <c r="C20" s="65" t="n">
        <v>8</v>
      </c>
      <c r="D20" s="71" t="inlineStr">
        <is>
          <t>Page structure</t>
        </is>
      </c>
      <c r="E20" s="45" t="inlineStr">
        <is>
          <t>Do menus function correctly when opened, traversed and activated/clicked, including: 
- Hamburger menu
- Expandable menus
- Collapsible menus
- Drop down "more information" menus (usually available via an ellipsis …)</t>
        </is>
      </c>
      <c r="F20" s="106" t="inlineStr">
        <is>
          <t>Pass</t>
        </is>
      </c>
      <c r="G20" s="102" t="inlineStr">
        <is>
          <t>No hamburger menu. The account menu (round button with my initials) opens when tapped, closes when I tap somewhere else, and "Profile" takes me to my profile.</t>
        </is>
      </c>
      <c r="H20" s="102" t="n"/>
      <c r="I20" s="105" t="n"/>
      <c r="J20" s="105" t="n"/>
      <c r="K20" s="102" t="inlineStr">
        <is>
          <t>Compatibility Testing Evidence/android-account-menu.png</t>
        </is>
      </c>
      <c r="L20" s="104" t="n">
        <v>3.07</v>
      </c>
    </row>
    <row r="21" ht="80" customHeight="1">
      <c r="B21" s="21" t="n"/>
      <c r="C21" s="65" t="n">
        <v>9</v>
      </c>
      <c r="D21" s="71" t="inlineStr">
        <is>
          <t>Page structure</t>
        </is>
      </c>
      <c r="E21" s="45" t="inlineStr">
        <is>
          <t>Does the page view correctly when using zoom in and out?</t>
        </is>
      </c>
      <c r="F21" s="106" t="inlineStr">
        <is>
          <t>Pass</t>
        </is>
      </c>
      <c r="G21" s="102" t="inlineStr">
        <is>
          <t>Zoomed the dashboard and an outcome page in to 200% and out to 50%. The text and mastery bars resized and nothing went off the screen.</t>
        </is>
      </c>
      <c r="H21" s="102" t="n"/>
      <c r="I21" s="105" t="n"/>
      <c r="J21" s="105" t="n"/>
      <c r="K21" s="102" t="inlineStr">
        <is>
          <t>Compatibility Testing Evidence/android-zoom-200.png</t>
        </is>
      </c>
      <c r="L21" s="104" t="n">
        <v>6.31</v>
      </c>
    </row>
    <row r="22" ht="106" customHeight="1">
      <c r="B22" s="21" t="n"/>
      <c r="C22" s="65" t="n">
        <v>10</v>
      </c>
      <c r="D22" s="71" t="inlineStr">
        <is>
          <t>Page structure</t>
        </is>
      </c>
      <c r="E22" s="45" t="inlineStr">
        <is>
          <t>When JavaScript is turned off, do understandable error messages appear explaining that JavaScript must be enabled to display required content, without any scripts being displayed to on the screen?</t>
        </is>
      </c>
      <c r="F22" s="106" t="inlineStr">
        <is>
          <t>Pass</t>
        </is>
      </c>
      <c r="G22" s="102" t="inlineStr">
        <is>
          <t>I turned JavaScript off. The page shows a clear message: "Please enable JavaScript in your browser to use the Learning Journey Assistant, then reload the page." No code is shown on screen.</t>
        </is>
      </c>
      <c r="H22" s="102" t="n"/>
      <c r="I22" s="105" t="n"/>
      <c r="J22" s="105" t="n"/>
      <c r="K22" s="102" t="inlineStr">
        <is>
          <t>Compatibility Testing Evidence/android-javascript-off.png</t>
        </is>
      </c>
      <c r="L22" s="104" t="n">
        <v>1.77</v>
      </c>
    </row>
    <row r="23" ht="106" customHeight="1">
      <c r="B23" s="21" t="n"/>
      <c r="C23" s="65" t="n">
        <v>11</v>
      </c>
      <c r="D23" s="54" t="inlineStr">
        <is>
          <t>Images</t>
        </is>
      </c>
      <c r="E23" s="45" t="inlineStr">
        <is>
          <t>Are images displayed correctly, including: 
- Position on the page (alignment, not overlapping fields, content or edge of screen)
- Rendering 
- Resolution
- Background (e.g. transparent)
- Lazy loading (load on scroll)
- No distortion (i.e. correct aspect ratio)
- No broken links</t>
        </is>
      </c>
      <c r="F23" s="106" t="inlineStr">
        <is>
          <t>Pass</t>
        </is>
      </c>
      <c r="G23" s="102" t="inlineStr">
        <is>
          <t>Our app has no photos or pictures - only small line icons (e.g. the target, lightbulb and arrow icons). They all showed at the right size and position, sharp and not stretched, on every page.</t>
        </is>
      </c>
      <c r="H23" s="102" t="n"/>
      <c r="I23" s="105" t="n"/>
      <c r="J23" s="105" t="n"/>
      <c r="K23" s="102" t="n"/>
      <c r="L23" s="104" t="n">
        <v>10.65</v>
      </c>
    </row>
    <row r="24" ht="54" customHeight="1">
      <c r="B24" s="21" t="n"/>
      <c r="C24" s="65" t="n">
        <v>12</v>
      </c>
      <c r="D24" s="54" t="inlineStr">
        <is>
          <t>Images</t>
        </is>
      </c>
      <c r="E24" s="45" t="inlineStr">
        <is>
          <t>Are images suitable for the given content and context?</t>
        </is>
      </c>
      <c r="F24" s="106" t="inlineStr">
        <is>
          <t>Not applicable</t>
        </is>
      </c>
      <c r="G24" s="102" t="inlineStr">
        <is>
          <t>No photos or pictures in the app, only small icons that match their labels.</t>
        </is>
      </c>
      <c r="H24" s="102" t="n"/>
      <c r="I24" s="105" t="n"/>
      <c r="J24" s="105" t="n"/>
      <c r="K24" s="102" t="n"/>
      <c r="L24" s="104" t="n"/>
    </row>
    <row r="25" ht="184" customHeight="1">
      <c r="B25" s="21" t="n"/>
      <c r="C25" s="65" t="n">
        <v>13</v>
      </c>
      <c r="D25" s="54" t="inlineStr">
        <is>
          <t>Images</t>
        </is>
      </c>
      <c r="E25" s="45" t="inlineStr">
        <is>
          <t xml:space="preserve">Do images include suitable alternative text? </t>
        </is>
      </c>
      <c r="F25" s="106" t="inlineStr">
        <is>
          <t>Pass</t>
        </is>
      </c>
      <c r="G25" s="102" t="inlineStr">
        <is>
          <t>There are no photos that need alt text. The decorative icons are hidden from screen readers, icon-only buttons (like the back arrow and account menu) have a label, and the trend chart has a title and a text description of its values. (This failed in my first test run - see DEF-01. After the fix I retested it and it passed.)</t>
        </is>
      </c>
      <c r="H25" s="102" t="inlineStr">
        <is>
          <t>DEF-01</t>
        </is>
      </c>
      <c r="I25" s="105" t="inlineStr">
        <is>
          <t>Minor</t>
        </is>
      </c>
      <c r="J25" s="105" t="inlineStr">
        <is>
          <t>The mastery trend chart (Trends page) has no text alternative: the chart graphic has no title/description, so screen readers can't tell what it shows. Fix: give the chart a title and a text description of its values. Fixed: the chart now has a title and a text description of its values. Retested 07/10/2026: Pass.</t>
        </is>
      </c>
      <c r="K25" s="102" t="inlineStr">
        <is>
          <t>Before fix: Compatibility Testing Evidence/first-run/android-trends.png</t>
        </is>
      </c>
      <c r="L25" s="104" t="n">
        <v>10.75</v>
      </c>
    </row>
    <row r="26" ht="54" customHeight="1">
      <c r="B26" s="21" t="n"/>
      <c r="C26" s="65" t="n">
        <v>14</v>
      </c>
      <c r="D26" s="54" t="inlineStr">
        <is>
          <t>Images</t>
        </is>
      </c>
      <c r="E26" s="45" t="inlineStr">
        <is>
          <t>Do clickable images navigate to the correct location?</t>
        </is>
      </c>
      <c r="F26" s="106" t="inlineStr">
        <is>
          <t>Not applicable</t>
        </is>
      </c>
      <c r="G26" s="102" t="inlineStr">
        <is>
          <t>No clickable images. (The account button shows my initials as text, it's checked in test 8.)</t>
        </is>
      </c>
      <c r="H26" s="102" t="n"/>
      <c r="I26" s="105" t="n"/>
      <c r="J26" s="105" t="n"/>
      <c r="K26" s="102" t="n"/>
      <c r="L26" s="104" t="n"/>
    </row>
    <row r="27" ht="54" customHeight="1">
      <c r="B27" s="21" t="n"/>
      <c r="C27" s="65" t="n">
        <v>15</v>
      </c>
      <c r="D27" s="54" t="inlineStr">
        <is>
          <t>Images</t>
        </is>
      </c>
      <c r="E27" s="45" t="inlineStr">
        <is>
          <t xml:space="preserve">Do images display correctly when screen is zoomed in and out? </t>
        </is>
      </c>
      <c r="F27" s="106" t="inlineStr">
        <is>
          <t>Not applicable</t>
        </is>
      </c>
      <c r="G27" s="102" t="inlineStr">
        <is>
          <t>No images. Icons and the rest of the page were checked at 200% and 50% zoom in test 9.</t>
        </is>
      </c>
      <c r="H27" s="102" t="n"/>
      <c r="I27" s="105" t="n"/>
      <c r="J27" s="105" t="n"/>
      <c r="K27" s="102" t="n"/>
      <c r="L27" s="104" t="n"/>
    </row>
    <row r="28" ht="54" customHeight="1">
      <c r="B28" s="21" t="n"/>
      <c r="C28" s="65" t="n">
        <v>16</v>
      </c>
      <c r="D28" s="54" t="inlineStr">
        <is>
          <t>Images</t>
        </is>
      </c>
      <c r="E28" s="45" t="inlineStr">
        <is>
          <t>Do animated behaviours display correctly (e.g. Giff)</t>
        </is>
      </c>
      <c r="F28" s="106" t="inlineStr">
        <is>
          <t>Not applicable</t>
        </is>
      </c>
      <c r="G28" s="102" t="inlineStr">
        <is>
          <t>No GIFs or animations, apart from a small spinning icon while something loads.</t>
        </is>
      </c>
      <c r="H28" s="102" t="n"/>
      <c r="I28" s="105" t="n"/>
      <c r="J28" s="105" t="n"/>
      <c r="K28" s="102" t="n"/>
      <c r="L28" s="104" t="n"/>
    </row>
    <row r="29" ht="28" customHeight="1">
      <c r="B29" s="21" t="n"/>
      <c r="C29" s="65" t="n">
        <v>17</v>
      </c>
      <c r="D29" s="72" t="inlineStr">
        <is>
          <t>Videos</t>
        </is>
      </c>
      <c r="E29" s="45" t="inlineStr">
        <is>
          <t xml:space="preserve">Are videos displayed, positioned and rendered correctly on the page, with the correct thumbnails? </t>
        </is>
      </c>
      <c r="F29" s="106" t="inlineStr">
        <is>
          <t>Not applicable</t>
        </is>
      </c>
      <c r="G29" s="102" t="inlineStr">
        <is>
          <t>The app doesn't have any videos.</t>
        </is>
      </c>
      <c r="H29" s="102" t="n"/>
      <c r="I29" s="105" t="n"/>
      <c r="J29" s="105" t="n"/>
      <c r="K29" s="102" t="n"/>
      <c r="L29" s="104" t="n"/>
    </row>
    <row r="30" ht="63.7" customHeight="1">
      <c r="B30" s="21" t="n"/>
      <c r="C30" s="65" t="n">
        <v>18</v>
      </c>
      <c r="D30" s="72" t="inlineStr">
        <is>
          <t>Videos</t>
        </is>
      </c>
      <c r="E30" s="45" t="inlineStr">
        <is>
          <t>Do videos play correctly, including (where required):
- Auto play
- Click to play 
- Tap to play
- Picture in picture (PiP)</t>
        </is>
      </c>
      <c r="F30" s="106" t="inlineStr">
        <is>
          <t>Not applicable</t>
        </is>
      </c>
      <c r="G30" s="102" t="inlineStr">
        <is>
          <t>The app doesn't have any videos.</t>
        </is>
      </c>
      <c r="H30" s="102" t="n"/>
      <c r="I30" s="105" t="n"/>
      <c r="J30" s="105" t="n"/>
      <c r="K30" s="102" t="n"/>
      <c r="L30" s="104" t="n"/>
    </row>
    <row r="31" ht="28" customHeight="1">
      <c r="B31" s="21" t="n"/>
      <c r="C31" s="65" t="n">
        <v>19</v>
      </c>
      <c r="D31" s="72" t="inlineStr">
        <is>
          <t>Videos</t>
        </is>
      </c>
      <c r="E31" s="45" t="inlineStr">
        <is>
          <t>Do videos display with the correct defaults (e.g. auto-play, display inline or full screen)</t>
        </is>
      </c>
      <c r="F31" s="106" t="inlineStr">
        <is>
          <t>Not applicable</t>
        </is>
      </c>
      <c r="G31" s="102" t="inlineStr">
        <is>
          <t>The app doesn't have any videos.</t>
        </is>
      </c>
      <c r="H31" s="102" t="n"/>
      <c r="I31" s="105" t="n"/>
      <c r="J31" s="105" t="n"/>
      <c r="K31" s="102" t="n"/>
      <c r="L31" s="104" t="n"/>
    </row>
    <row r="32" ht="50.95" customHeight="1">
      <c r="B32" s="21" t="n"/>
      <c r="C32" s="65" t="n">
        <v>20</v>
      </c>
      <c r="D32" s="72" t="inlineStr">
        <is>
          <t>Videos</t>
        </is>
      </c>
      <c r="E32" s="45" t="inlineStr">
        <is>
          <t>Do all videos display suitable captions, including:
- Captions that match the video content
- Language preferences
- Location on screen</t>
        </is>
      </c>
      <c r="F32" s="106" t="inlineStr">
        <is>
          <t>Not applicable</t>
        </is>
      </c>
      <c r="G32" s="102" t="inlineStr">
        <is>
          <t>The app doesn't have any videos.</t>
        </is>
      </c>
      <c r="H32" s="102" t="n"/>
      <c r="I32" s="105" t="n"/>
      <c r="J32" s="105" t="n"/>
      <c r="K32" s="102" t="n"/>
      <c r="L32" s="104" t="n"/>
    </row>
    <row r="33" ht="50.95" customHeight="1">
      <c r="B33" s="21" t="n"/>
      <c r="C33" s="65" t="n">
        <v>21</v>
      </c>
      <c r="D33" s="72" t="inlineStr">
        <is>
          <t>Videos</t>
        </is>
      </c>
      <c r="E33" s="45" t="inlineStr">
        <is>
          <t>Can videos be moved to:
- Full screen mode 
- Embedded/inline mode
- Press escape from full-screen mode to revert back to inline mode</t>
        </is>
      </c>
      <c r="F33" s="106" t="inlineStr">
        <is>
          <t>Not applicable</t>
        </is>
      </c>
      <c r="G33" s="102" t="inlineStr">
        <is>
          <t>The app doesn't have any videos.</t>
        </is>
      </c>
      <c r="H33" s="102" t="n"/>
      <c r="I33" s="105" t="n"/>
      <c r="J33" s="105" t="n"/>
      <c r="K33" s="102" t="n"/>
      <c r="L33" s="104" t="n"/>
    </row>
    <row r="34" ht="114.65" customHeight="1">
      <c r="B34" s="21" t="n"/>
      <c r="C34" s="65" t="n">
        <v>22</v>
      </c>
      <c r="D34" s="72" t="inlineStr">
        <is>
          <t>Videos</t>
        </is>
      </c>
      <c r="E34" s="45" t="inlineStr">
        <is>
          <t>Do video controls work, including: 
- Play, pause, stop
- Fast forward and rewind (including skip X seconds forward/back)
- Volume 
- Mute/unmute 
- Playback speed (e.g. 0.5x, 1.5x, 2x)
- Resume from last position 
- Download / long-press
- Streaming vs. offline view</t>
        </is>
      </c>
      <c r="F34" s="106" t="inlineStr">
        <is>
          <t>Not applicable</t>
        </is>
      </c>
      <c r="G34" s="102" t="inlineStr">
        <is>
          <t>The app doesn't have any videos.</t>
        </is>
      </c>
      <c r="H34" s="102" t="n"/>
      <c r="I34" s="105" t="n"/>
      <c r="J34" s="105" t="n"/>
      <c r="K34" s="102" t="n"/>
      <c r="L34" s="104" t="n"/>
    </row>
    <row r="35" ht="93" customHeight="1">
      <c r="B35" s="21" t="n"/>
      <c r="C35" s="65" t="n">
        <v>23</v>
      </c>
      <c r="D35" s="51" t="inlineStr">
        <is>
          <t>Forms</t>
        </is>
      </c>
      <c r="E35" s="41" t="inlineStr">
        <is>
          <t xml:space="preserve">Are all required fields visible on the form? </t>
        </is>
      </c>
      <c r="F35" s="106" t="inlineStr">
        <is>
          <t>Pass</t>
        </is>
      </c>
      <c r="G35" s="102" t="inlineStr">
        <is>
          <t>Login form: Student email, Password and Sign in are all visible. The "Commit to a next step" box on the outcome page shows its text field and "Add to my plan" button.</t>
        </is>
      </c>
      <c r="H35" s="102" t="n"/>
      <c r="I35" s="105" t="n"/>
      <c r="J35" s="105" t="n"/>
      <c r="K35" s="102" t="inlineStr">
        <is>
          <t>Compatibility Testing Evidence/android-login.png</t>
        </is>
      </c>
      <c r="L35" s="104" t="n">
        <v>4.26</v>
      </c>
    </row>
    <row r="36" ht="178.35" customHeight="1">
      <c r="B36" s="21" t="n"/>
      <c r="C36" s="65" t="n">
        <v>24</v>
      </c>
      <c r="D36" s="52" t="inlineStr">
        <is>
          <t>Forms</t>
        </is>
      </c>
      <c r="E36" s="49" t="inlineStr">
        <is>
          <t>Are all form fields positioned within the boundaries of the form, and not overlapping or truncating, including:
- Labels
- Single line textboxes
- Multi-line textboxes
- Dropdown lists
- Radio buttons
- Checkboxes 
- Date pickers
- Tables 
- Grids 
- Menus and submenus 
- Images
- Drag and drop</t>
        </is>
      </c>
      <c r="F36" s="106" t="inlineStr">
        <is>
          <t>Pass</t>
        </is>
      </c>
      <c r="G36" s="102" t="inlineStr">
        <is>
          <t>On the login form the labels, the two text boxes and the button all sit inside the white box. The reflection text box and its button don't overlap either. Nothing is cut off.</t>
        </is>
      </c>
      <c r="H36" s="102" t="n"/>
      <c r="I36" s="105" t="n"/>
      <c r="J36" s="105" t="n"/>
      <c r="K36" s="102" t="n"/>
      <c r="L36" s="104" t="n">
        <v>3.71</v>
      </c>
    </row>
    <row r="37" ht="127.4" customHeight="1">
      <c r="B37" s="21" t="n"/>
      <c r="C37" s="65" t="n">
        <v>25</v>
      </c>
      <c r="D37" s="52" t="inlineStr">
        <is>
          <t>Forms</t>
        </is>
      </c>
      <c r="E37" s="49" t="inlineStr">
        <is>
          <t>Does tool tip text display correctly for each field, including:
- Single line textboxes
- Multi-line textboxes
- Dropdown lists
- Radio buttons
- Checkboxes 
- Date pickers
- Tables 
- Grids 
- Drag and drop</t>
        </is>
      </c>
      <c r="F37" s="106" t="inlineStr">
        <is>
          <t>Not applicable</t>
        </is>
      </c>
      <c r="G37" s="102" t="inlineStr">
        <is>
          <t>Our form fields don't have tooltips. Each field has a label above it instead ("Student email", "Password").</t>
        </is>
      </c>
      <c r="H37" s="102" t="n"/>
      <c r="I37" s="105" t="n"/>
      <c r="J37" s="105" t="n"/>
      <c r="K37" s="102" t="n"/>
      <c r="L37" s="104" t="n"/>
    </row>
    <row r="38" ht="158" customHeight="1">
      <c r="B38" s="21" t="n"/>
      <c r="C38" s="65" t="n">
        <v>26</v>
      </c>
      <c r="D38" s="52" t="inlineStr">
        <is>
          <t>Forms</t>
        </is>
      </c>
      <c r="E38" s="49" t="inlineStr">
        <is>
          <t>Can data be input into each field correctly, including:
- Single line textboxes
- Multi-line textboxes
- Dropdown lists
- Radio buttons
- Checkboxes 
- Date pickers
- Tables 
- Grids 
- Drag and drop
- Copy/paste</t>
        </is>
      </c>
      <c r="F38" s="106" t="inlineStr">
        <is>
          <t>Pass</t>
        </is>
      </c>
      <c r="G38" s="102" t="inlineStr">
        <is>
          <t>Typed letters, numbers and symbols into the email, password and reflection boxes, and picked an answer (radio button) in the quiz. Everything was accepted, and the password showed as dots. (Didn't test copy/paste because browsers block copying out of password boxes.)</t>
        </is>
      </c>
      <c r="H38" s="102" t="n"/>
      <c r="I38" s="105" t="n"/>
      <c r="J38" s="105" t="n"/>
      <c r="K38" s="102" t="n"/>
      <c r="L38" s="104" t="n">
        <v>8.77</v>
      </c>
    </row>
    <row r="39" ht="158" customHeight="1">
      <c r="B39" s="21" t="n"/>
      <c r="C39" s="65" t="n">
        <v>27</v>
      </c>
      <c r="D39" s="52" t="inlineStr">
        <is>
          <t>Forms</t>
        </is>
      </c>
      <c r="E39" s="49" t="inlineStr">
        <is>
          <t xml:space="preserve">When invalid/negative data is input into a field: 
- Are understandable error messages displayed? 
- Are error messages displayed at the right time (e.g. when focus leaves the field, or on save)?
- Are error messages positioned in the correct location?
- Are error validation icons (e.g. ticks, crosses) displayed in the correct location, colour and format? </t>
        </is>
      </c>
      <c r="F39" s="106" t="inlineStr">
        <is>
          <t>Pass</t>
        </is>
      </c>
      <c r="G39" s="102" t="inlineStr">
        <is>
          <t>Empty email: the browser said "Please fill out this field.". Email without @: "Please include an '@' in the email address. 'not-an-email' is missing an '@'.". Wrong password: a red message "Incorrect email or password." appeared above the Sign in button straight after I clicked it.</t>
        </is>
      </c>
      <c r="H39" s="102" t="n"/>
      <c r="I39" s="105" t="n"/>
      <c r="J39" s="105" t="n"/>
      <c r="K39" s="102" t="inlineStr">
        <is>
          <t>Compatibility Testing Evidence/android-invalid-login.png</t>
        </is>
      </c>
      <c r="L39" s="104" t="n">
        <v>2.06</v>
      </c>
    </row>
    <row r="40" ht="145" customHeight="1">
      <c r="B40" s="21" t="n"/>
      <c r="C40" s="65" t="n">
        <v>28</v>
      </c>
      <c r="D40" s="52" t="inlineStr">
        <is>
          <t>Forms</t>
        </is>
      </c>
      <c r="E40" s="49" t="inlineStr">
        <is>
          <t xml:space="preserve">When placeholder text is included in each form field, is the text: 
- Visible 
- Understandable
- Rendered in the correct colour (i.e. to differentiate from user inputs) </t>
        </is>
      </c>
      <c r="F40" s="106" t="inlineStr">
        <is>
          <t>Pass</t>
        </is>
      </c>
      <c r="G40" s="102" t="inlineStr">
        <is>
          <t>The reflection box shows the placeholder "What will you do differently for this outcome?" in grey, which is easy to understand and looks different from the text I type (black). The login boxes start with no placeholder (the email is filled in).</t>
        </is>
      </c>
      <c r="H40" s="102" t="n"/>
      <c r="I40" s="105" t="n"/>
      <c r="J40" s="105" t="n"/>
      <c r="K40" s="102" t="inlineStr">
        <is>
          <t>Compatibility Testing Evidence/android-outcome-lo4.png</t>
        </is>
      </c>
      <c r="L40" s="104" t="n">
        <v>4.49</v>
      </c>
    </row>
    <row r="41" ht="93" customHeight="1">
      <c r="B41" s="21" t="n"/>
      <c r="C41" s="65" t="n">
        <v>29</v>
      </c>
      <c r="D41" s="52" t="inlineStr">
        <is>
          <t>Forms</t>
        </is>
      </c>
      <c r="E41" s="49" t="inlineStr">
        <is>
          <t>Do form fields auto-complete correctly, using data previously saved by the browser?</t>
        </is>
      </c>
      <c r="F41" s="106" t="inlineStr">
        <is>
          <t>Not run</t>
        </is>
      </c>
      <c r="G41" s="102" t="inlineStr">
        <is>
          <t>The login boxes are set up for autofill (autocomplete="username" and "current-password"), but the test browser has no saved passwords so I couldn't try it.</t>
        </is>
      </c>
      <c r="H41" s="102" t="n"/>
      <c r="I41" s="105" t="n"/>
      <c r="J41" s="105" t="n"/>
      <c r="K41" s="102" t="n"/>
      <c r="L41" s="104" t="n"/>
    </row>
    <row r="42" ht="171" customHeight="1">
      <c r="A42" s="21" t="n"/>
      <c r="B42" s="21" t="n"/>
      <c r="C42" s="65" t="n">
        <v>30</v>
      </c>
      <c r="D42" s="53" t="inlineStr">
        <is>
          <t>Forms</t>
        </is>
      </c>
      <c r="E42" s="45" t="inlineStr">
        <is>
          <t xml:space="preserve">When the user submits a form (e.g. by clicking Save, Submit or OK):
- Is a visual indicator displayed to indicate that the form is saving (e.g. spinning wheel or progress bar)?
- After the form is saved/submitted, does an appropriate success message appear?
- Is the success message in the correct location, format and colour? </t>
        </is>
      </c>
      <c r="F42" s="100" t="inlineStr">
        <is>
          <t>Pass</t>
        </is>
      </c>
      <c r="G42" s="102" t="inlineStr">
        <is>
          <t>Login: the button changes to "Signing in…" and then the dashboard opens. Reflection: after "Add to my plan" it shows "Saved to your learning plan". Quiz: after the last answer it says "Scoring..." and then "Quiz complete" with my result. AI study plan: the button says "Generating..." and then my plan appears.</t>
        </is>
      </c>
      <c r="H42" s="102" t="n"/>
      <c r="I42" s="105" t="n"/>
      <c r="J42" s="105" t="n"/>
      <c r="K42" s="102" t="inlineStr">
        <is>
          <t>Compatibility Testing Evidence/android-quiz-results.png</t>
        </is>
      </c>
      <c r="L42" s="104" t="n">
        <v>15.48</v>
      </c>
    </row>
    <row r="43" ht="89.2" customFormat="1" customHeight="1" s="5">
      <c r="A43" s="28" t="n"/>
      <c r="B43" s="21" t="n"/>
      <c r="C43" s="65" t="n">
        <v>31</v>
      </c>
      <c r="D43" s="73" t="inlineStr">
        <is>
          <t>Interactions</t>
        </is>
      </c>
      <c r="E43" s="45" t="inlineStr">
        <is>
          <t>Do mouse inputs work correctly, including:
- Hover over (e.g. display tool tip text)
- Right mouse button click 
- Left mouse button click 
- Scroll wheel 
- Programmable mouse buttons
- Any other mouse buttons</t>
        </is>
      </c>
      <c r="F43" s="100" t="inlineStr">
        <is>
          <t>Not applicable</t>
        </is>
      </c>
      <c r="G43" s="102" t="inlineStr">
        <is>
          <t>Phones don't use a mouse. Touch is tested in test 33.</t>
        </is>
      </c>
      <c r="H43" s="102" t="n"/>
      <c r="I43" s="77" t="n"/>
      <c r="J43" s="77" t="n"/>
      <c r="K43" s="102" t="n"/>
      <c r="L43" s="104" t="n"/>
      <c r="M43" s="28" t="n"/>
    </row>
    <row r="44" ht="101.95" customFormat="1" customHeight="1" s="5">
      <c r="A44" s="28" t="n"/>
      <c r="B44" s="21" t="n"/>
      <c r="C44" s="65" t="n">
        <v>32</v>
      </c>
      <c r="D44" s="73" t="inlineStr">
        <is>
          <t>Interactions</t>
        </is>
      </c>
      <c r="E44" s="45" t="inlineStr">
        <is>
          <t>Do keyboard inputs work correctly, including:
- Letters
- Numbers
- Symbols
- Function keys (F1 to F12)
- Control keys (e.g. escape, control, command (Apple Mac) alt, shift, tab, print screen, enter, shift lock, num lock, etc.)
- Navigation keys (arrow keys, home, end, page up, page down)</t>
        </is>
      </c>
      <c r="F44" s="100" t="inlineStr">
        <is>
          <t>Pass</t>
        </is>
      </c>
      <c r="G44" s="102" t="inlineStr">
        <is>
          <t>Typed letters, numbers and symbols with the keyboard, Backspace deleted them, and pressing Go/Enter logged me in.</t>
        </is>
      </c>
      <c r="H44" s="102" t="n"/>
      <c r="I44" s="77" t="n"/>
      <c r="J44" s="77" t="n"/>
      <c r="K44" s="102" t="n"/>
      <c r="L44" s="104" t="n">
        <v>2.47</v>
      </c>
      <c r="M44" s="28" t="n"/>
    </row>
    <row r="45" ht="191.1" customFormat="1" customHeight="1" s="5">
      <c r="A45" s="28" t="n"/>
      <c r="B45" s="21" t="n"/>
      <c r="C45" s="65" t="n">
        <v>33</v>
      </c>
      <c r="D45" s="73" t="inlineStr">
        <is>
          <t>Interactions</t>
        </is>
      </c>
      <c r="E45" s="45" t="inlineStr">
        <is>
          <t>Do touchscreen and mobile inputs work correctly, including: 
- Tap
- Double tap
- Multi-touch
- Long press / tap-and-hold
- Swipe
- Scroll 
- Two-finger scroll
- Pinch (zoom in) and spread (zoom out)
- Rotate screen 
- Back navigation (e.g. back button or swipe)
- Forward navigation (e.g. swipe)
- System gestures (e.g. swipe up from bottom of screen)
- Stylus based input
- Voice input</t>
        </is>
      </c>
      <c r="F45" s="100" t="inlineStr">
        <is>
          <t>Pass</t>
        </is>
      </c>
      <c r="G45" s="102" t="inlineStr">
        <is>
          <t>Tapping works for the text boxes, buttons, top links and the account menu. The page scrolls, still fits after rotating the phone, and Sign out works by tapping. Couldn't test pinch zoom, long press, stylus or voice on the emulator.</t>
        </is>
      </c>
      <c r="H45" s="102" t="n"/>
      <c r="I45" s="77" t="n"/>
      <c r="J45" s="77" t="n"/>
      <c r="K45" s="102" t="n"/>
      <c r="L45" s="104" t="n">
        <v>3.96</v>
      </c>
      <c r="M45" s="28" t="n"/>
    </row>
    <row r="46" ht="101.95" customFormat="1" customHeight="1" s="5">
      <c r="A46" s="28" t="n"/>
      <c r="B46" s="21" t="n"/>
      <c r="C46" s="65" t="n">
        <v>34</v>
      </c>
      <c r="D46" s="73" t="inlineStr">
        <is>
          <t>Interactions</t>
        </is>
      </c>
      <c r="E46" s="45" t="inlineStr">
        <is>
          <t>Do smartwatch inputs work correctly, including: 
- Tap
- Swipe
- Long press (including on text, links, images and video)
- Button press
- Double button press
- Hard press 
- Voice input</t>
        </is>
      </c>
      <c r="F46" s="100" t="inlineStr">
        <is>
          <t>Not applicable</t>
        </is>
      </c>
      <c r="G46" s="102" t="inlineStr">
        <is>
          <t>The app isn't made for smartwatches.</t>
        </is>
      </c>
      <c r="H46" s="102" t="n"/>
      <c r="I46" s="77" t="n"/>
      <c r="J46" s="77" t="n"/>
      <c r="K46" s="102" t="n"/>
      <c r="L46" s="104" t="n"/>
      <c r="M46" s="28" t="n"/>
    </row>
    <row r="47" ht="331.2" customFormat="1" customHeight="1" s="5">
      <c r="A47" s="28" t="n"/>
      <c r="B47" s="21" t="n"/>
      <c r="C47" s="65" t="n">
        <v>35</v>
      </c>
      <c r="D47" s="73" t="inlineStr">
        <is>
          <t>Interactions</t>
        </is>
      </c>
      <c r="E47" s="45" t="inlineStr">
        <is>
          <t>Do joystick inputs work correctly, including: 
- Buttons
       * Primary buttons (e.g. A, B, X, Y)
       * Select/confirm button (enter equivalent)
       * Cancel/back (escape equivalent)
       * Context actions (e.g. shortcuts)
       * Shoulder/trigger buttons (L1, L2, R1, R2)
       * Paging (scroll between sections)
       * Secondary actions (e.g. zoom, rotate)
       * Start button
       * Menu button 
- Directions  
        * Up, down, left, right, diagonal (navigating menus, moving focus)
        * Continuous hold vs. single press (scroll vs. step)
- Analog behaviour
       * Dead zone testing (ensuring slight nudges do not move focus unintentionally)
       * Sensitivity testing (slow vs. fast movements)
       * Left and right sticks 
       * Circular movement 
- Gestures &amp; special inputs - e.g. 
       * Long press buttons 
       * Double-tap buttons 
       * Combination presses (e.g. L1 + R1 = action A)
- System inputs 
       * Home/dashboard button (does app handle pausing/losing focus gracefully?)
       * Power button interactions (suspend, resume)</t>
        </is>
      </c>
      <c r="F47" s="100" t="inlineStr">
        <is>
          <t>Not applicable</t>
        </is>
      </c>
      <c r="G47" s="102" t="inlineStr">
        <is>
          <t>The app isn't made for game controllers / joysticks.</t>
        </is>
      </c>
      <c r="H47" s="102" t="n"/>
      <c r="I47" s="77" t="n"/>
      <c r="J47" s="77" t="n"/>
      <c r="K47" s="102" t="n"/>
      <c r="L47" s="104" t="n"/>
      <c r="M47" s="28" t="n"/>
    </row>
    <row r="48" ht="28" customHeight="1">
      <c r="B48" s="21" t="n"/>
      <c r="C48" s="65" t="n">
        <v>36</v>
      </c>
      <c r="D48" s="64" t="inlineStr">
        <is>
          <t>File download</t>
        </is>
      </c>
      <c r="E48" s="41" t="inlineStr">
        <is>
          <t>Can files be downloaded correctly, including all supported file types, and for max file sizes?</t>
        </is>
      </c>
      <c r="F48" s="100" t="inlineStr">
        <is>
          <t>Not applicable</t>
        </is>
      </c>
      <c r="G48" s="102" t="inlineStr">
        <is>
          <t>The app doesn't have any file downloads.</t>
        </is>
      </c>
      <c r="H48" s="102" t="n"/>
      <c r="I48" s="105" t="n"/>
      <c r="J48" s="105" t="n"/>
      <c r="K48" s="102" t="n"/>
      <c r="L48" s="104" t="n"/>
    </row>
    <row r="49" ht="63.7" customHeight="1">
      <c r="B49" s="21" t="n"/>
      <c r="C49" s="65" t="n">
        <v>37</v>
      </c>
      <c r="D49" s="64" t="inlineStr">
        <is>
          <t>File download</t>
        </is>
      </c>
      <c r="E49" s="41" t="inlineStr">
        <is>
          <t>For each downloaded file: 
- Does the downloaded file open on the given device? 
- Are the file format, layout, fonts and styles correct?
- Is there no text overlapping or truncating?
- Are images displayed correctly?</t>
        </is>
      </c>
      <c r="F49" s="100" t="inlineStr">
        <is>
          <t>Not applicable</t>
        </is>
      </c>
      <c r="G49" s="102" t="inlineStr">
        <is>
          <t>The app doesn't have any file downloads.</t>
        </is>
      </c>
      <c r="H49" s="102" t="n"/>
      <c r="I49" s="105" t="n"/>
      <c r="J49" s="105" t="n"/>
      <c r="K49" s="102" t="n"/>
      <c r="L49" s="104" t="n"/>
    </row>
    <row r="50" ht="28" customFormat="1" customHeight="1" s="5">
      <c r="A50" s="28" t="n"/>
      <c r="B50" s="21" t="n"/>
      <c r="C50" s="65" t="n">
        <v>38</v>
      </c>
      <c r="D50" s="64" t="inlineStr">
        <is>
          <t>File download</t>
        </is>
      </c>
      <c r="E50" s="41" t="inlineStr">
        <is>
          <t>Is there a visual indicator displayed during the download process, so the user understands that a download is in progress (e.g. spinning wheel or progress bar)?</t>
        </is>
      </c>
      <c r="F50" s="100" t="inlineStr">
        <is>
          <t>Not applicable</t>
        </is>
      </c>
      <c r="G50" s="102" t="inlineStr">
        <is>
          <t>The app doesn't have any file downloads.</t>
        </is>
      </c>
      <c r="H50" s="102" t="n"/>
      <c r="I50" s="107" t="n"/>
      <c r="J50" s="77" t="n"/>
      <c r="K50" s="102" t="n"/>
      <c r="L50" s="104" t="n"/>
      <c r="M50" s="28" t="n"/>
    </row>
    <row r="51" ht="28" customFormat="1" customHeight="1" s="5">
      <c r="A51" s="28" t="n"/>
      <c r="B51" s="21" t="n"/>
      <c r="C51" s="65" t="n">
        <v>39</v>
      </c>
      <c r="D51" s="74" t="inlineStr">
        <is>
          <t>File upload</t>
        </is>
      </c>
      <c r="E51" s="41" t="inlineStr">
        <is>
          <t>Can files can uploaded successfully, across all supported file formats, including maximum file sizes?</t>
        </is>
      </c>
      <c r="F51" s="100" t="inlineStr">
        <is>
          <t>Not applicable</t>
        </is>
      </c>
      <c r="G51" s="102" t="inlineStr">
        <is>
          <t>The app doesn't have any file uploads.</t>
        </is>
      </c>
      <c r="H51" s="102" t="n"/>
      <c r="I51" s="107" t="n"/>
      <c r="J51" s="77" t="n"/>
      <c r="K51" s="102" t="n"/>
      <c r="L51" s="104" t="n"/>
      <c r="M51" s="28" t="n"/>
    </row>
    <row r="52" ht="28" customFormat="1" customHeight="1" s="5">
      <c r="A52" s="28" t="n"/>
      <c r="B52" s="21" t="n"/>
      <c r="C52" s="65" t="n">
        <v>40</v>
      </c>
      <c r="D52" s="74" t="inlineStr">
        <is>
          <t>File upload</t>
        </is>
      </c>
      <c r="E52" s="41" t="inlineStr">
        <is>
          <t>Is there a visual indicator displayed during the upload process, so the user understands that an upload is in progress (e.g. spinning wheel or progress bar)?</t>
        </is>
      </c>
      <c r="F52" s="100" t="inlineStr">
        <is>
          <t>Not applicable</t>
        </is>
      </c>
      <c r="G52" s="102" t="inlineStr">
        <is>
          <t>The app doesn't have any file uploads.</t>
        </is>
      </c>
      <c r="H52" s="102" t="n"/>
      <c r="I52" s="107" t="n"/>
      <c r="J52" s="77" t="n"/>
      <c r="K52" s="102" t="n"/>
      <c r="L52" s="104" t="n"/>
      <c r="M52" s="28" t="n"/>
    </row>
    <row r="53" ht="38.25" customFormat="1" customHeight="1" s="5">
      <c r="A53" s="28" t="n"/>
      <c r="B53" s="21" t="n"/>
      <c r="C53" s="65" t="n">
        <v>41</v>
      </c>
      <c r="D53" s="74" t="inlineStr">
        <is>
          <t>File upload</t>
        </is>
      </c>
      <c r="E53" s="41" t="inlineStr">
        <is>
          <t xml:space="preserve">Is a suitable error message displayed for:
- File sizes that are too big 
- Incorrect file formats? </t>
        </is>
      </c>
      <c r="F53" s="100" t="inlineStr">
        <is>
          <t>Not applicable</t>
        </is>
      </c>
      <c r="G53" s="102" t="inlineStr">
        <is>
          <t>The app doesn't have any file uploads.</t>
        </is>
      </c>
      <c r="H53" s="102" t="n"/>
      <c r="I53" s="107" t="n"/>
      <c r="J53" s="77" t="n"/>
      <c r="K53" s="102" t="n"/>
      <c r="L53" s="104" t="n"/>
      <c r="M53" s="28" t="n"/>
    </row>
    <row r="54" ht="158" customHeight="1">
      <c r="B54" s="21" t="n"/>
      <c r="C54" s="65" t="n">
        <v>42</v>
      </c>
      <c r="D54" s="63" t="inlineStr">
        <is>
          <t>Links and navigation</t>
        </is>
      </c>
      <c r="E54" s="45" t="inlineStr">
        <is>
          <t>Is the user able to:  
- Navigate to each field on the page
- Navigate to each link on the page 
- Activate each link on the page 
- Navigate to each menu option on the page 
- Activate each menu option on the page 
- Utilise fields on pop-up screens
- Navigate to next page and previous page 
- Navigate to home page 
- Navigate via voice input</t>
        </is>
      </c>
      <c r="F54" s="100" t="inlineStr">
        <is>
          <t>Pass</t>
        </is>
      </c>
      <c r="G54" s="102" t="inlineStr">
        <is>
          <t>I could reach every field (Email -&gt; Password -&gt; Sign in). The top links go to Dashboard, Plan and Trends, an outcome opens from the dashboard and the browser Back button returns. Refreshing keeps me logged in and Sign out (account menu) takes me back to the login page.</t>
        </is>
      </c>
      <c r="H54" s="102" t="n"/>
      <c r="I54" s="105" t="n"/>
      <c r="J54" s="105" t="n"/>
      <c r="K54" s="102" t="n"/>
      <c r="L54" s="104" t="n">
        <v>5</v>
      </c>
    </row>
    <row r="55" ht="80" customHeight="1">
      <c r="B55" s="21" t="n"/>
      <c r="C55" s="65" t="n">
        <v>43</v>
      </c>
      <c r="D55" s="54" t="inlineStr">
        <is>
          <t>Links and navigation</t>
        </is>
      </c>
      <c r="E55" s="45" t="inlineStr">
        <is>
          <t>Do all hyperlinks function correctly, in terms of:
- Hover over (showing tool tip text)
- Left mouse click 
- Keyboard activate (tab to the link and hit enter)
- Long-press / tap-and-hold</t>
        </is>
      </c>
      <c r="F55" s="106" t="inlineStr">
        <is>
          <t>Pass</t>
        </is>
      </c>
      <c r="G55" s="102" t="inlineStr">
        <is>
          <t>The links (top bar, learning outcomes, "Open -&gt;" in the plan) open the right page when tapped. Links don't have tooltips.</t>
        </is>
      </c>
      <c r="H55" s="102" t="n"/>
      <c r="I55" s="105" t="n"/>
      <c r="J55" s="105" t="n"/>
      <c r="K55" s="102" t="n"/>
      <c r="L55" s="104" t="n">
        <v>3.88</v>
      </c>
    </row>
    <row r="56" ht="63.7" customHeight="1">
      <c r="B56" s="21" t="n"/>
      <c r="C56" s="65" t="n">
        <v>44</v>
      </c>
      <c r="D56" s="54" t="inlineStr">
        <is>
          <t>Links and navigation</t>
        </is>
      </c>
      <c r="E56" s="45" t="inlineStr">
        <is>
          <t>Can the user navigate within the web page using the keyboard only, including: 
- Page up 
- Page down 
- Arrow keys 
- Tab / shift tab</t>
        </is>
      </c>
      <c r="F56" s="106" t="inlineStr">
        <is>
          <t>Not applicable</t>
        </is>
      </c>
      <c r="G56" s="102" t="inlineStr">
        <is>
          <t>Phones don't have Page Up / Page Down or arrow keys.</t>
        </is>
      </c>
      <c r="H56" s="102" t="n"/>
      <c r="I56" s="105" t="n"/>
      <c r="J56" s="105" t="n"/>
      <c r="K56" s="102" t="n"/>
      <c r="L56" s="104" t="n"/>
    </row>
    <row r="57" ht="54" customHeight="1">
      <c r="B57" s="21" t="n"/>
      <c r="C57" s="65" t="n">
        <v>45</v>
      </c>
      <c r="D57" s="72" t="inlineStr">
        <is>
          <t>Haptic feedback</t>
        </is>
      </c>
      <c r="E57" s="45" t="inlineStr">
        <is>
          <t xml:space="preserve">For devices, does haptic feedback work correctly including for: 
- Links 
- Buttons 
- Input fields </t>
        </is>
      </c>
      <c r="F57" s="106" t="inlineStr">
        <is>
          <t>Not applicable</t>
        </is>
      </c>
      <c r="G57" s="102" t="inlineStr">
        <is>
          <t>Vibration (haptic feedback) can't be felt on an emulator, and the app doesn't use vibration.</t>
        </is>
      </c>
      <c r="H57" s="102" t="n"/>
      <c r="I57" s="105" t="n"/>
      <c r="J57" s="105" t="n"/>
      <c r="K57" s="102" t="n"/>
      <c r="L57" s="104" t="n"/>
    </row>
    <row r="58" ht="38.25" customHeight="1">
      <c r="B58" s="21" t="n"/>
      <c r="C58" s="65" t="n">
        <v>46</v>
      </c>
      <c r="D58" s="54" t="inlineStr">
        <is>
          <t>Search field</t>
        </is>
      </c>
      <c r="E58" s="45" t="inlineStr">
        <is>
          <t xml:space="preserve">Is the search bar:
- Displayed in the correctly location? 
- Expand when clicked/in focus (if applicable)? </t>
        </is>
      </c>
      <c r="F58" s="106" t="inlineStr">
        <is>
          <t>Not applicable</t>
        </is>
      </c>
      <c r="G58" s="102" t="inlineStr">
        <is>
          <t>The app doesn't have a search bar.</t>
        </is>
      </c>
      <c r="H58" s="102" t="n"/>
      <c r="I58" s="105" t="n"/>
      <c r="J58" s="105" t="n"/>
      <c r="K58" s="102" t="n"/>
      <c r="L58" s="104" t="n"/>
    </row>
    <row r="59" ht="80" customHeight="1">
      <c r="A59" s="40" t="n"/>
      <c r="C59" s="65" t="n">
        <v>47</v>
      </c>
      <c r="D59" s="72" t="inlineStr">
        <is>
          <t xml:space="preserve">Printing </t>
        </is>
      </c>
      <c r="E59" s="49" t="inlineStr">
        <is>
          <t>Does print functionality work correctly including for: 
- Font style and size
- Page alignment 
- Page graphics 
- Page fits to the paper size 
- Print preview</t>
        </is>
      </c>
      <c r="F59" s="106" t="inlineStr">
        <is>
          <t>Pass</t>
        </is>
      </c>
      <c r="G59" s="102" t="inlineStr">
        <is>
          <t>Checked the print view of the dashboard at A4 size. Text, fonts and the mastery bars fit on the page and nothing was cut off.</t>
        </is>
      </c>
      <c r="H59" s="102" t="n"/>
      <c r="I59" s="105" t="n"/>
      <c r="J59" s="105" t="n"/>
      <c r="K59" s="102" t="inlineStr">
        <is>
          <t>Compatibility Testing Evidence/android-print-preview.png</t>
        </is>
      </c>
      <c r="L59" s="104" t="n">
        <v>2.6</v>
      </c>
    </row>
    <row r="60">
      <c r="B60" s="21" t="n"/>
      <c r="C60" s="30" t="n"/>
      <c r="D60" s="30" t="n"/>
      <c r="E60" s="31" t="n"/>
      <c r="F60" s="32" t="n"/>
      <c r="G60" s="32" t="n"/>
      <c r="H60" s="32" t="n"/>
      <c r="I60" s="32" t="n"/>
      <c r="J60" s="32" t="n"/>
      <c r="K60" s="32" t="n"/>
      <c r="L60" s="24" t="n"/>
    </row>
    <row r="61">
      <c r="B61" s="21" t="n"/>
      <c r="C61" s="33" t="n"/>
      <c r="E61" s="34" t="n"/>
      <c r="F61" s="35" t="n"/>
      <c r="G61" s="35" t="n"/>
      <c r="H61" s="35" t="n"/>
      <c r="I61" s="35" t="n"/>
      <c r="J61" s="35" t="n"/>
      <c r="K61" s="35" t="n"/>
      <c r="L61" s="24" t="n"/>
    </row>
    <row r="62" ht="13.3" customHeight="1" thickBot="1">
      <c r="B62" s="36" t="n"/>
      <c r="C62" s="37" t="inlineStr">
        <is>
          <t xml:space="preserve">© Planit </t>
        </is>
      </c>
      <c r="D62" s="38" t="n"/>
      <c r="E62" s="38" t="n"/>
      <c r="F62" s="39" t="n"/>
      <c r="G62" s="39" t="n"/>
      <c r="H62" s="39" t="n"/>
      <c r="I62" s="39" t="n"/>
      <c r="J62" s="39" t="n"/>
      <c r="K62" s="39" t="n"/>
      <c r="L62" s="29" t="n"/>
    </row>
    <row r="63">
      <c r="G63" s="10" t="n"/>
      <c r="H63" s="10" t="n"/>
      <c r="K63" s="10" t="n"/>
    </row>
    <row r="64">
      <c r="C64" s="11" t="n"/>
      <c r="D64" s="108" t="inlineStr">
        <is>
          <t>Test Metrics</t>
        </is>
      </c>
      <c r="G64" s="10" t="n"/>
      <c r="H64" s="10" t="n"/>
      <c r="K64" s="10" t="n"/>
    </row>
    <row r="65">
      <c r="C65" s="13" t="n"/>
      <c r="D65" s="14" t="n"/>
      <c r="E65" s="109" t="inlineStr">
        <is>
          <t>Total checks in the checklist</t>
        </is>
      </c>
      <c r="F65" s="110">
        <f>COUNTA(C13:C59)</f>
        <v>47.0</v>
      </c>
      <c r="G65" s="10" t="n"/>
      <c r="H65" s="10" t="n"/>
      <c r="K65" s="10" t="n"/>
    </row>
    <row r="66">
      <c r="C66" s="13" t="n"/>
      <c r="D66" s="14" t="n"/>
      <c r="E66" s="109" t="inlineStr">
        <is>
          <t>Tests executed (Pass + Fail)</t>
        </is>
      </c>
      <c r="F66" s="110">
        <f>COUNTIF(F13:F59,"Pass")+COUNTIF(F13:F59,"Fail")</f>
        <v>23.0</v>
      </c>
    </row>
    <row r="67">
      <c r="C67" s="13" t="n"/>
      <c r="D67" s="14" t="n"/>
      <c r="E67" s="109" t="inlineStr">
        <is>
          <t>Passed</t>
        </is>
      </c>
      <c r="F67" s="110">
        <f>COUNTIF(F13:F59,"Pass")</f>
        <v>23.0</v>
      </c>
    </row>
    <row r="68">
      <c r="C68" s="11" t="n"/>
      <c r="D68" s="12" t="n"/>
      <c r="E68" s="109" t="inlineStr">
        <is>
          <t>Failed</t>
        </is>
      </c>
      <c r="F68" s="110">
        <f>COUNTIF(F13:F59,"Fail")</f>
        <v>0.0</v>
      </c>
    </row>
    <row r="69">
      <c r="C69" s="11" t="n"/>
      <c r="D69" s="12" t="n"/>
      <c r="E69" s="109" t="inlineStr">
        <is>
          <t>Not run</t>
        </is>
      </c>
      <c r="F69" s="110">
        <f>COUNTIF(F13:F59,"Not run")</f>
        <v>1.0</v>
      </c>
    </row>
    <row r="70">
      <c r="E70" s="109" t="inlineStr">
        <is>
          <t>Not applicable</t>
        </is>
      </c>
      <c r="F70" s="110">
        <f>COUNTIF(F13:F59,"Not applicable")</f>
        <v>23.0</v>
      </c>
    </row>
    <row r="71">
      <c r="E71" s="109" t="inlineStr">
        <is>
          <t>Total time taken to execute the tests (sec)</t>
        </is>
      </c>
      <c r="F71" s="111">
        <f>SUM(L13:L59)</f>
        <v>155.16</v>
      </c>
    </row>
    <row r="72">
      <c r="E72" s="109" t="inlineStr">
        <is>
          <t>Average time taken per test (sec)</t>
        </is>
      </c>
      <c r="F72" s="111">
        <f>IFERROR(F71/F66,0)</f>
        <v>6.746086956521739</v>
      </c>
    </row>
    <row r="73">
      <c r="E73" s="109" t="inlineStr">
        <is>
          <t>Pass rate</t>
        </is>
      </c>
      <c r="F73" s="112">
        <f>IFERROR(F67/F66,0)</f>
        <v>1.0</v>
      </c>
    </row>
    <row r="74">
      <c r="E74" s="109" t="inlineStr">
        <is>
          <t>Failure rate</t>
        </is>
      </c>
      <c r="F74" s="112">
        <f>IFERROR(F68/F66,0)</f>
        <v>0.0</v>
      </c>
    </row>
    <row r="75">
      <c r="E75" s="113" t="inlineStr">
        <is>
          <t>Pass rate = Passed ÷ Tests executed. "Not applicable" and "Not run" tests are not counted in the rates or the average.</t>
        </is>
      </c>
    </row>
  </sheetData>
  <conditionalFormatting sqref="F13:K59">
    <cfRule type="cellIs" priority="1" operator="equal" dxfId="5" stopIfTrue="1">
      <formula>RiskAccepted</formula>
    </cfRule>
    <cfRule type="cellIs" priority="2" operator="equal" dxfId="4" stopIfTrue="1">
      <formula>Conforming</formula>
    </cfRule>
    <cfRule type="cellIs" priority="3" operator="equal" dxfId="3" stopIfTrue="1">
      <formula>NotConforming</formula>
    </cfRule>
    <cfRule type="cellIs" priority="4" operator="equal" dxfId="2" stopIfTrue="1">
      <formula>OutOfScope</formula>
    </cfRule>
  </conditionalFormatting>
  <conditionalFormatting sqref="I13:J58">
    <cfRule type="colorScale" priority="71">
      <colorScale>
        <cfvo type="min"/>
        <cfvo type="max"/>
        <color rgb="FFFF7128"/>
        <color rgb="FFFFEF9C"/>
      </colorScale>
    </cfRule>
  </conditionalFormatting>
  <conditionalFormatting sqref="I59:J59">
    <cfRule type="colorScale" priority="7">
      <colorScale>
        <cfvo type="min"/>
        <cfvo type="max"/>
        <color rgb="FFFF7128"/>
        <color rgb="FFFFEF9C"/>
      </colorScale>
    </cfRule>
  </conditionalFormatting>
  <conditionalFormatting sqref="I13:K59">
    <cfRule type="cellIs" priority="31" operator="equal" dxfId="1">
      <formula>"Major"</formula>
    </cfRule>
    <cfRule type="cellIs" priority="32" operator="equal" dxfId="0">
      <formula>"Minor"</formula>
    </cfRule>
  </conditionalFormatting>
  <conditionalFormatting sqref="F13:F59">
    <cfRule type="cellIs" priority="9" operator="equal" dxfId="6">
      <formula>"Pass"</formula>
    </cfRule>
    <cfRule type="cellIs" priority="10" operator="equal" dxfId="7">
      <formula>"Fail"</formula>
    </cfRule>
  </conditionalFormatting>
  <dataValidations count="2">
    <dataValidation sqref="F13:F59" showDropDown="0" showInputMessage="0" showErrorMessage="0" allowBlank="1" type="list">
      <formula1>Status</formula1>
    </dataValidation>
    <dataValidation sqref="I13:I59" showDropDown="0" showInputMessage="0" showErrorMessage="0" allowBlank="1" type="list">
      <formula1>Variables!$D$2:$D$3</formula1>
    </dataValidation>
  </dataValidations>
  <pageMargins left="0.2362204724409449" right="0.2362204724409449" top="0.7480314960629921" bottom="0.7480314960629921" header="0.3149606299212598" footer="0.3149606299212598"/>
  <pageSetup orientation="landscape"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8"/>
  <sheetViews>
    <sheetView workbookViewId="0">
      <selection activeCell="B12" sqref="B12"/>
    </sheetView>
  </sheetViews>
  <sheetFormatPr baseColWidth="8" defaultRowHeight="12.75"/>
  <cols>
    <col width="20.5" bestFit="1" customWidth="1" min="1" max="1"/>
    <col width="46.59765625" bestFit="1" customWidth="1" min="2" max="2"/>
  </cols>
  <sheetData>
    <row r="1">
      <c r="A1" s="60" t="inlineStr">
        <is>
          <t>Lookup values</t>
        </is>
      </c>
      <c r="B1" s="60" t="inlineStr">
        <is>
          <t>Meaning</t>
        </is>
      </c>
      <c r="D1" s="61" t="inlineStr">
        <is>
          <t>Severity</t>
        </is>
      </c>
    </row>
    <row r="2">
      <c r="A2" s="58" t="inlineStr">
        <is>
          <t>Pass</t>
        </is>
      </c>
      <c r="B2" s="58" t="inlineStr">
        <is>
          <t>Result matches requirements and/or expectations</t>
        </is>
      </c>
      <c r="D2" s="62" t="inlineStr">
        <is>
          <t>Major</t>
        </is>
      </c>
    </row>
    <row r="3">
      <c r="A3" s="59" t="inlineStr">
        <is>
          <t>Fail</t>
        </is>
      </c>
      <c r="B3" s="58" t="inlineStr">
        <is>
          <t>Result does not match requirements and/or expectations</t>
        </is>
      </c>
      <c r="D3" s="62" t="inlineStr">
        <is>
          <t>Minor</t>
        </is>
      </c>
    </row>
    <row r="4">
      <c r="A4" s="59" t="inlineStr">
        <is>
          <t>Not run</t>
        </is>
      </c>
      <c r="B4" s="59" t="inlineStr">
        <is>
          <t>Test was not run</t>
        </is>
      </c>
      <c r="D4" s="2" t="n"/>
    </row>
    <row r="5">
      <c r="A5" s="59" t="inlineStr">
        <is>
          <t>Out of scope</t>
        </is>
      </c>
      <c r="B5" s="59" t="inlineStr">
        <is>
          <t>Client has moved the test out of scope for the given page</t>
        </is>
      </c>
      <c r="D5" s="2" t="n"/>
    </row>
    <row r="6">
      <c r="A6" s="59" t="inlineStr">
        <is>
          <t>Not applicable</t>
        </is>
      </c>
      <c r="B6" s="59" t="inlineStr">
        <is>
          <t>Test is not applicable for the given page</t>
        </is>
      </c>
      <c r="D6" s="2" t="n"/>
    </row>
    <row r="7">
      <c r="A7" s="59" t="inlineStr">
        <is>
          <t>Question</t>
        </is>
      </c>
      <c r="B7" s="59" t="inlineStr">
        <is>
          <t>Test result is inconclusive and requires discussion</t>
        </is>
      </c>
    </row>
    <row r="8">
      <c r="A8" s="1" t="n"/>
      <c r="B8"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user</dc:creator>
  <dcterms:created xmlns:dcterms="http://purl.org/dc/terms/" xmlns:xsi="http://www.w3.org/2001/XMLSchema-instance" xsi:type="dcterms:W3CDTF">2009-02-26T07:29:39Z</dcterms:created>
  <dcterms:modified xmlns:dcterms="http://purl.org/dc/terms/" xmlns:xsi="http://www.w3.org/2001/XMLSchema-instance" xsi:type="dcterms:W3CDTF">2026-10-06T13:30:00Z</dcterms:modified>
  <cp:lastModifiedBy>Tafline Ramos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0x010100D7CA7F74B785704BA253A66C5928C083</vt:lpwstr>
  </property>
  <property name="Order" fmtid="{D5CDD505-2E9C-101B-9397-08002B2CF9AE}" pid="3">
    <vt:r8 xmlns:vt="http://schemas.openxmlformats.org/officeDocument/2006/docPropsVTypes">8300</vt:r8>
  </property>
  <property name="xd_Signature" fmtid="{D5CDD505-2E9C-101B-9397-08002B2CF9AE}" pid="4">
    <vt:bool xmlns:vt="http://schemas.openxmlformats.org/officeDocument/2006/docPropsVTypes">0</vt:bool>
  </property>
  <property name="xd_ProgID" fmtid="{D5CDD505-2E9C-101B-9397-08002B2CF9AE}" pid="5">
    <vt:lpwstr xmlns:vt="http://schemas.openxmlformats.org/officeDocument/2006/docPropsVTypes"/>
  </property>
  <property name="ComplianceAssetId" fmtid="{D5CDD505-2E9C-101B-9397-08002B2CF9AE}" pid="6">
    <vt:lpwstr xmlns:vt="http://schemas.openxmlformats.org/officeDocument/2006/docPropsVTypes"/>
  </property>
  <property name="TemplateUrl" fmtid="{D5CDD505-2E9C-101B-9397-08002B2CF9AE}" pid="7">
    <vt:lpwstr xmlns:vt="http://schemas.openxmlformats.org/officeDocument/2006/docPropsVTypes"/>
  </property>
  <property name="MSIP_Label_a06b1757-be9e-4cae-9dd0-3f502b9c4f57_Enabled" fmtid="{D5CDD505-2E9C-101B-9397-08002B2CF9AE}" pid="8">
    <vt:lpwstr xmlns:vt="http://schemas.openxmlformats.org/officeDocument/2006/docPropsVTypes">true</vt:lpwstr>
  </property>
  <property name="MSIP_Label_a06b1757-be9e-4cae-9dd0-3f502b9c4f57_SetDate" fmtid="{D5CDD505-2E9C-101B-9397-08002B2CF9AE}" pid="9">
    <vt:lpwstr xmlns:vt="http://schemas.openxmlformats.org/officeDocument/2006/docPropsVTypes">2023-06-20T02:29:43Z</vt:lpwstr>
  </property>
  <property name="MSIP_Label_a06b1757-be9e-4cae-9dd0-3f502b9c4f57_Method" fmtid="{D5CDD505-2E9C-101B-9397-08002B2CF9AE}" pid="10">
    <vt:lpwstr xmlns:vt="http://schemas.openxmlformats.org/officeDocument/2006/docPropsVTypes">Standard</vt:lpwstr>
  </property>
  <property name="MSIP_Label_a06b1757-be9e-4cae-9dd0-3f502b9c4f57_Name" fmtid="{D5CDD505-2E9C-101B-9397-08002B2CF9AE}" pid="11">
    <vt:lpwstr xmlns:vt="http://schemas.openxmlformats.org/officeDocument/2006/docPropsVTypes">Internal</vt:lpwstr>
  </property>
  <property name="MSIP_Label_a06b1757-be9e-4cae-9dd0-3f502b9c4f57_SiteId" fmtid="{D5CDD505-2E9C-101B-9397-08002B2CF9AE}" pid="12">
    <vt:lpwstr xmlns:vt="http://schemas.openxmlformats.org/officeDocument/2006/docPropsVTypes">a91bb61f-4251-4711-ab1b-fa2751a2bca5</vt:lpwstr>
  </property>
  <property name="MSIP_Label_a06b1757-be9e-4cae-9dd0-3f502b9c4f57_ActionId" fmtid="{D5CDD505-2E9C-101B-9397-08002B2CF9AE}" pid="13">
    <vt:lpwstr xmlns:vt="http://schemas.openxmlformats.org/officeDocument/2006/docPropsVTypes">20950934-4869-4ac1-9625-6051096de390</vt:lpwstr>
  </property>
  <property name="MSIP_Label_a06b1757-be9e-4cae-9dd0-3f502b9c4f57_ContentBits" fmtid="{D5CDD505-2E9C-101B-9397-08002B2CF9AE}" pid="14">
    <vt:lpwstr xmlns:vt="http://schemas.openxmlformats.org/officeDocument/2006/docPropsVTypes">0</vt:lpwstr>
  </property>
  <property name="MediaServiceImageTags" fmtid="{D5CDD505-2E9C-101B-9397-08002B2CF9AE}" pid="15">
    <vt:lpwstr xmlns:vt="http://schemas.openxmlformats.org/officeDocument/2006/docPropsVTypes"/>
  </property>
</Properties>
</file>