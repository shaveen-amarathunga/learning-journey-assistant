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8673" yWindow="-11730" windowWidth="18808" windowHeight="11110" tabRatio="600" firstSheet="0" activeTab="0" autoFilterDateGrouping="1"/>
  </bookViews>
  <sheets>
    <sheet xmlns:r="http://schemas.openxmlformats.org/officeDocument/2006/relationships" name="Test Metrics Summary" sheetId="1" state="visible" r:id="rId1"/>
    <sheet xmlns:r="http://schemas.openxmlformats.org/officeDocument/2006/relationships" name="Chrome (macOS)" sheetId="2" state="visible" r:id="rId2"/>
    <sheet xmlns:r="http://schemas.openxmlformats.org/officeDocument/2006/relationships" name="Firefox (macOS)" sheetId="3" state="visible" r:id="rId3"/>
    <sheet xmlns:r="http://schemas.openxmlformats.org/officeDocument/2006/relationships" name="Safari (macOS)" sheetId="4" state="visible" r:id="rId4"/>
    <sheet xmlns:r="http://schemas.openxmlformats.org/officeDocument/2006/relationships" name="iPhone 13 (Safari)" sheetId="5" state="visible" r:id="rId5"/>
    <sheet xmlns:r="http://schemas.openxmlformats.org/officeDocument/2006/relationships" name="Pixel 7 (Chrome)" sheetId="6" state="visible" r:id="rId6"/>
    <sheet xmlns:r="http://schemas.openxmlformats.org/officeDocument/2006/relationships" name="Variables" sheetId="7" state="visible" r:id="rId7"/>
  </sheets>
  <definedNames>
    <definedName name="Status">Variables!$A$2:$A$7</definedName>
  </definedNames>
  <calcPr calcId="124519" fullCalcOnLoad="1"/>
</workbook>
</file>

<file path=xl/styles.xml><?xml version="1.0" encoding="utf-8"?>
<styleSheet xmlns="http://schemas.openxmlformats.org/spreadsheetml/2006/main">
  <numFmts count="3">
    <numFmt numFmtId="164" formatCode="yyyy-mm-dd h:mm:ss"/>
    <numFmt numFmtId="165" formatCode="dd/mm/yyyy"/>
    <numFmt numFmtId="166" formatCode="0.0%"/>
  </numFmts>
  <fonts count="22">
    <font>
      <name val="Arial"/>
      <sz val="10"/>
    </font>
    <font>
      <name val="Arial"/>
      <family val="2"/>
      <b val="1"/>
      <sz val="10"/>
    </font>
    <font>
      <name val="Arial"/>
      <family val="2"/>
      <sz val="10"/>
    </font>
    <font>
      <name val="Arial"/>
      <family val="2"/>
      <color indexed="23"/>
      <sz val="8"/>
    </font>
    <font>
      <name val="Arial"/>
      <family val="2"/>
      <sz val="20"/>
    </font>
    <font>
      <name val="Arial"/>
      <sz val="9"/>
    </font>
    <font>
      <name val="Arial"/>
      <family val="2"/>
      <sz val="9"/>
    </font>
    <font>
      <name val="Arial"/>
      <family val="2"/>
      <color indexed="23"/>
      <sz val="10"/>
    </font>
    <font>
      <name val="Arial"/>
      <color rgb="FF000000"/>
      <sz val="10"/>
    </font>
    <font>
      <name val="Arial"/>
      <b val="1"/>
      <sz val="10"/>
    </font>
    <font>
      <name val="Arial"/>
      <sz val="10"/>
    </font>
    <font>
      <name val="Arial"/>
      <family val="2"/>
      <color rgb="FF000000"/>
      <sz val="10"/>
    </font>
    <font>
      <name val="Arial"/>
      <family val="2"/>
      <b val="1"/>
      <sz val="20"/>
    </font>
    <font>
      <name val="Arial"/>
      <family val="2"/>
      <b val="1"/>
      <sz val="9"/>
    </font>
    <font>
      <name val="Arial"/>
      <family val="2"/>
      <i val="1"/>
      <color theme="2" tint="-0.499984740745262"/>
      <sz val="9"/>
    </font>
    <font>
      <name val="Arial"/>
      <family val="2"/>
      <b val="1"/>
      <color theme="0"/>
      <sz val="12"/>
    </font>
    <font>
      <name val="Arial"/>
      <b val="1"/>
      <sz val="12"/>
    </font>
    <font>
      <name val="Arial"/>
      <i val="1"/>
      <sz val="9"/>
    </font>
    <font>
      <name val="Arial"/>
      <b val="1"/>
      <sz val="20"/>
    </font>
    <font>
      <name val="Arial"/>
      <b val="1"/>
      <color theme="0"/>
      <sz val="10"/>
    </font>
    <font>
      <name val="Arial"/>
      <b val="1"/>
      <color rgb="FF00B0F0"/>
      <sz val="10"/>
    </font>
    <font>
      <name val="Arial"/>
      <b val="1"/>
      <color rgb="FF00B050"/>
      <sz val="10"/>
    </font>
  </fonts>
  <fills count="7">
    <fill>
      <patternFill/>
    </fill>
    <fill>
      <patternFill patternType="gray125"/>
    </fill>
    <fill>
      <patternFill patternType="solid">
        <fgColor theme="4" tint="0.7999816888943144"/>
        <bgColor indexed="64"/>
      </patternFill>
    </fill>
    <fill>
      <patternFill patternType="solid">
        <fgColor theme="7" tint="0.7999816888943144"/>
        <bgColor indexed="64"/>
      </patternFill>
    </fill>
    <fill>
      <patternFill patternType="solid">
        <fgColor theme="1"/>
        <bgColor indexed="64"/>
      </patternFill>
    </fill>
    <fill>
      <patternFill patternType="solid">
        <fgColor theme="5" tint="0.5999938962981048"/>
        <bgColor indexed="64"/>
      </patternFill>
    </fill>
    <fill>
      <patternFill patternType="solid">
        <fgColor rgb="FFF2F2F2"/>
      </patternFill>
    </fill>
  </fills>
  <borders count="2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top/>
      <bottom style="thin">
        <color rgb="FF000000"/>
      </bottom>
      <diagonal/>
    </border>
    <border>
      <left style="thin">
        <color indexed="64"/>
      </left>
      <right/>
      <top style="thin">
        <color indexed="64"/>
      </top>
      <bottom style="thin">
        <color indexed="64"/>
      </bottom>
      <diagonal/>
    </border>
    <border>
      <left/>
      <right style="thin">
        <color rgb="FF000000"/>
      </right>
      <top/>
      <bottom/>
      <diagonal/>
    </border>
    <border>
      <left/>
      <right style="thin">
        <color indexed="64"/>
      </right>
      <top style="thin">
        <color indexed="64"/>
      </top>
      <bottom/>
      <diagonal/>
    </border>
    <border>
      <left/>
      <right/>
      <top style="thin">
        <color indexed="64"/>
      </top>
      <bottom style="thin">
        <color indexed="64"/>
      </bottom>
      <diagonal/>
    </border>
    <border>
      <left/>
      <right/>
      <top style="thin">
        <color rgb="FF000000"/>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10" fillId="0" borderId="0"/>
    <xf numFmtId="43" fontId="10" fillId="0" borderId="0"/>
  </cellStyleXfs>
  <cellXfs count="114">
    <xf numFmtId="0" fontId="0" fillId="0" borderId="0" pivotButton="0" quotePrefix="0" xfId="0"/>
    <xf numFmtId="0" fontId="2" fillId="0" borderId="0" applyAlignment="1" pivotButton="0" quotePrefix="0" xfId="0">
      <alignment horizontal="left" vertical="top"/>
    </xf>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horizontal="center" vertical="top"/>
    </xf>
    <xf numFmtId="0" fontId="6"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0" fillId="0" borderId="1" applyAlignment="1" pivotButton="0" quotePrefix="0" xfId="0">
      <alignment vertical="top"/>
    </xf>
    <xf numFmtId="0" fontId="0" fillId="0"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vertical="center" wrapText="1"/>
    </xf>
    <xf numFmtId="0" fontId="0" fillId="0" borderId="2" applyAlignment="1" pivotButton="0" quotePrefix="0" xfId="0">
      <alignment vertical="top"/>
    </xf>
    <xf numFmtId="0" fontId="0" fillId="0" borderId="3" applyAlignment="1" pivotButton="0" quotePrefix="0" xfId="0">
      <alignment vertical="top"/>
    </xf>
    <xf numFmtId="0" fontId="0" fillId="0" borderId="4" applyAlignment="1" pivotButton="0" quotePrefix="0" xfId="0">
      <alignment vertical="top"/>
    </xf>
    <xf numFmtId="0" fontId="12" fillId="0" borderId="0" applyAlignment="1" pivotButton="0" quotePrefix="0" xfId="0">
      <alignment vertical="top"/>
    </xf>
    <xf numFmtId="0" fontId="4" fillId="0" borderId="0" applyAlignment="1" pivotButton="0" quotePrefix="0" xfId="0">
      <alignment vertical="top"/>
    </xf>
    <xf numFmtId="0" fontId="0" fillId="0" borderId="5" applyAlignment="1" pivotButton="0" quotePrefix="0" xfId="0">
      <alignment vertical="top"/>
    </xf>
    <xf numFmtId="0" fontId="0" fillId="0" borderId="5" applyAlignment="1" pivotButton="0" quotePrefix="0" xfId="0">
      <alignment horizontal="center" vertical="top"/>
    </xf>
    <xf numFmtId="0" fontId="0" fillId="0" borderId="0" applyAlignment="1" pivotButton="0" quotePrefix="0" xfId="0">
      <alignment horizontal="center" vertical="top"/>
    </xf>
    <xf numFmtId="0" fontId="5" fillId="0" borderId="5" applyAlignment="1" pivotButton="0" quotePrefix="0" xfId="0">
      <alignment vertical="top"/>
    </xf>
    <xf numFmtId="0" fontId="5" fillId="0" borderId="0" applyAlignment="1" pivotButton="0" quotePrefix="0" xfId="0">
      <alignment vertical="top"/>
    </xf>
    <xf numFmtId="0" fontId="0" fillId="0" borderId="8" applyAlignment="1" pivotButton="0" quotePrefix="0" xfId="0">
      <alignment vertical="top"/>
    </xf>
    <xf numFmtId="0" fontId="3" fillId="0" borderId="10" applyAlignment="1" pivotButton="0" quotePrefix="0" xfId="0">
      <alignment horizontal="left" vertical="center"/>
    </xf>
    <xf numFmtId="0" fontId="7" fillId="0" borderId="10" applyAlignment="1" pivotButton="0" quotePrefix="0" xfId="0">
      <alignment vertical="center"/>
    </xf>
    <xf numFmtId="0" fontId="3" fillId="0" borderId="10" pivotButton="0" quotePrefix="0" xfId="0"/>
    <xf numFmtId="0" fontId="3" fillId="0" borderId="0" applyAlignment="1" pivotButton="0" quotePrefix="0" xfId="0">
      <alignment horizontal="left" vertical="center"/>
    </xf>
    <xf numFmtId="0" fontId="7" fillId="0" borderId="0" applyAlignment="1" pivotButton="0" quotePrefix="0" xfId="0">
      <alignment vertical="center"/>
    </xf>
    <xf numFmtId="0" fontId="3" fillId="0" borderId="0" pivotButton="0" quotePrefix="0" xfId="0"/>
    <xf numFmtId="0" fontId="0" fillId="0" borderId="7" applyAlignment="1" pivotButton="0" quotePrefix="0" xfId="0">
      <alignment vertical="top"/>
    </xf>
    <xf numFmtId="0" fontId="3" fillId="0" borderId="6" applyAlignment="1" pivotButton="0" quotePrefix="0" xfId="0">
      <alignment horizontal="left" vertical="center"/>
    </xf>
    <xf numFmtId="0" fontId="7" fillId="0" borderId="6" applyAlignment="1" pivotButton="0" quotePrefix="0" xfId="0">
      <alignment vertical="center"/>
    </xf>
    <xf numFmtId="0" fontId="3" fillId="0" borderId="6" pivotButton="0" quotePrefix="0" xfId="0"/>
    <xf numFmtId="0" fontId="0" fillId="0" borderId="12" applyAlignment="1" pivotButton="0" quotePrefix="0" xfId="0">
      <alignment vertical="top"/>
    </xf>
    <xf numFmtId="0" fontId="11" fillId="0" borderId="9" applyAlignment="1" pivotButton="0" quotePrefix="0" xfId="0">
      <alignment vertical="top" wrapText="1"/>
    </xf>
    <xf numFmtId="0" fontId="9" fillId="0" borderId="9" applyAlignment="1" pivotButton="0" quotePrefix="0" xfId="0">
      <alignment horizontal="center" vertical="center" wrapText="1"/>
    </xf>
    <xf numFmtId="0" fontId="9" fillId="0" borderId="17" applyAlignment="1" pivotButton="0" quotePrefix="0" xfId="0">
      <alignment horizontal="center" vertical="center" wrapText="1"/>
    </xf>
    <xf numFmtId="0" fontId="9" fillId="0" borderId="14" applyAlignment="1" pivotButton="0" quotePrefix="0" xfId="0">
      <alignment horizontal="center" vertical="center" wrapText="1"/>
    </xf>
    <xf numFmtId="0" fontId="2" fillId="0" borderId="9" applyAlignment="1" pivotButton="0" quotePrefix="0" xfId="0">
      <alignment vertical="top" wrapText="1"/>
    </xf>
    <xf numFmtId="0" fontId="9" fillId="0" borderId="16" applyAlignment="1" pivotButton="0" quotePrefix="0" xfId="0">
      <alignment horizontal="center" vertical="center" wrapText="1"/>
    </xf>
    <xf numFmtId="0" fontId="9" fillId="0" borderId="11" applyAlignment="1" pivotButton="0" quotePrefix="0" xfId="0">
      <alignment horizontal="center" vertical="center" wrapText="1"/>
    </xf>
    <xf numFmtId="0" fontId="9" fillId="0" borderId="13" applyAlignment="1" pivotButton="0" quotePrefix="0" xfId="0">
      <alignment horizontal="center" vertical="center" wrapText="1"/>
    </xf>
    <xf numFmtId="0" fontId="2" fillId="0" borderId="9" applyAlignment="1" pivotButton="0" quotePrefix="0" xfId="0">
      <alignment horizontal="left" vertical="top" wrapText="1"/>
    </xf>
    <xf numFmtId="0" fontId="9" fillId="0" borderId="0" applyAlignment="1" pivotButton="0" quotePrefix="0" xfId="0">
      <alignment horizontal="center" vertical="center" wrapText="1"/>
    </xf>
    <xf numFmtId="0" fontId="8" fillId="3" borderId="18" applyAlignment="1" pivotButton="0" quotePrefix="0" xfId="0">
      <alignment vertical="top" wrapText="1"/>
    </xf>
    <xf numFmtId="0" fontId="8" fillId="3" borderId="9" applyAlignment="1" pivotButton="0" quotePrefix="0" xfId="0">
      <alignment vertical="top" wrapText="1"/>
    </xf>
    <xf numFmtId="0" fontId="8" fillId="3" borderId="15" applyAlignment="1" pivotButton="0" quotePrefix="0" xfId="0">
      <alignment vertical="top" wrapText="1"/>
    </xf>
    <xf numFmtId="0" fontId="2" fillId="3" borderId="11" applyAlignment="1" pivotButton="0" quotePrefix="0" xfId="0">
      <alignment horizontal="left" vertical="top" wrapText="1"/>
    </xf>
    <xf numFmtId="0" fontId="13" fillId="0" borderId="0" applyAlignment="1" pivotButton="0" quotePrefix="0" xfId="0">
      <alignment horizontal="right" vertical="center"/>
    </xf>
    <xf numFmtId="0" fontId="6" fillId="0" borderId="9" applyAlignment="1" pivotButton="0" quotePrefix="0" xfId="0">
      <alignment vertical="center"/>
    </xf>
    <xf numFmtId="0" fontId="14" fillId="0" borderId="0" applyAlignment="1" pivotButton="0" quotePrefix="0" xfId="0">
      <alignment vertical="top"/>
    </xf>
    <xf numFmtId="0" fontId="2" fillId="0" borderId="9" applyAlignment="1" pivotButton="0" quotePrefix="0" xfId="0">
      <alignment vertical="top"/>
    </xf>
    <xf numFmtId="0" fontId="2" fillId="0" borderId="9" applyAlignment="1" pivotButton="0" quotePrefix="0" xfId="0">
      <alignment horizontal="left" vertical="top"/>
    </xf>
    <xf numFmtId="0" fontId="1" fillId="2" borderId="9" applyAlignment="1" pivotButton="0" quotePrefix="0" xfId="0">
      <alignment vertical="top"/>
    </xf>
    <xf numFmtId="0" fontId="1" fillId="2" borderId="9" pivotButton="0" quotePrefix="0" xfId="0"/>
    <xf numFmtId="0" fontId="2" fillId="0" borderId="9" pivotButton="0" quotePrefix="0" xfId="0"/>
    <xf numFmtId="0" fontId="2" fillId="3" borderId="19" applyAlignment="1" pivotButton="0" quotePrefix="0" xfId="0">
      <alignment horizontal="left" vertical="top" wrapText="1"/>
    </xf>
    <xf numFmtId="0" fontId="11" fillId="3" borderId="20" applyAlignment="1" pivotButton="0" quotePrefix="0" xfId="0">
      <alignment vertical="top"/>
    </xf>
    <xf numFmtId="1" fontId="8" fillId="0" borderId="9" applyAlignment="1" pivotButton="0" quotePrefix="0" xfId="1">
      <alignment horizontal="center" vertical="top"/>
    </xf>
    <xf numFmtId="0" fontId="15" fillId="4" borderId="9" applyAlignment="1" pivotButton="0" quotePrefix="0" xfId="0">
      <alignment horizontal="center" vertical="center"/>
    </xf>
    <xf numFmtId="0" fontId="15" fillId="4" borderId="19" applyAlignment="1" pivotButton="0" quotePrefix="0" xfId="0">
      <alignment vertical="center"/>
    </xf>
    <xf numFmtId="0" fontId="15" fillId="4" borderId="9" applyAlignment="1" pivotButton="0" quotePrefix="0" xfId="0">
      <alignment vertical="center"/>
    </xf>
    <xf numFmtId="0" fontId="15" fillId="4" borderId="9" applyAlignment="1" pivotButton="0" quotePrefix="0" xfId="0">
      <alignment vertical="center" wrapText="1"/>
    </xf>
    <xf numFmtId="0" fontId="15" fillId="4" borderId="11" applyAlignment="1" pivotButton="0" quotePrefix="0" xfId="0">
      <alignment vertical="center"/>
    </xf>
    <xf numFmtId="0" fontId="11" fillId="5" borderId="15" applyAlignment="1" pivotButton="0" quotePrefix="0" xfId="0">
      <alignment vertical="top" wrapText="1"/>
    </xf>
    <xf numFmtId="0" fontId="2" fillId="5" borderId="11" applyAlignment="1" pivotButton="0" quotePrefix="0" xfId="0">
      <alignment horizontal="left" vertical="top" wrapText="1"/>
    </xf>
    <xf numFmtId="0" fontId="11" fillId="5" borderId="11" applyAlignment="1" pivotButton="0" quotePrefix="0" xfId="0">
      <alignment vertical="top"/>
    </xf>
    <xf numFmtId="0" fontId="11" fillId="5" borderId="19" applyAlignment="1" pivotButton="0" quotePrefix="0" xfId="0">
      <alignment vertical="top"/>
    </xf>
    <xf numFmtId="0" fontId="18" fillId="0" borderId="0" pivotButton="0" quotePrefix="0" xfId="0"/>
    <xf numFmtId="0" fontId="9" fillId="0" borderId="0" applyAlignment="1" pivotButton="0" quotePrefix="0" xfId="0">
      <alignment vertical="top"/>
    </xf>
    <xf numFmtId="0" fontId="10" fillId="0" borderId="0" applyAlignment="1" pivotButton="0" quotePrefix="0" xfId="0">
      <alignment vertical="top" wrapText="1"/>
    </xf>
    <xf numFmtId="165" fontId="10" fillId="0" borderId="0" applyAlignment="1" pivotButton="0" quotePrefix="0" xfId="0">
      <alignment horizontal="left" vertical="top"/>
    </xf>
    <xf numFmtId="0" fontId="16" fillId="0" borderId="0" pivotButton="0" quotePrefix="0" xfId="0"/>
    <xf numFmtId="0" fontId="19" fillId="4" borderId="21" applyAlignment="1" pivotButton="0" quotePrefix="0" xfId="0">
      <alignment horizontal="center" vertical="center" wrapText="1"/>
    </xf>
    <xf numFmtId="0" fontId="9" fillId="0" borderId="21" applyAlignment="1" pivotButton="0" quotePrefix="0" xfId="0">
      <alignment horizontal="left" vertical="center" wrapText="1"/>
    </xf>
    <xf numFmtId="0" fontId="10" fillId="0" borderId="21" applyAlignment="1" pivotButton="0" quotePrefix="0" xfId="0">
      <alignment horizontal="left" vertical="center" wrapText="1"/>
    </xf>
    <xf numFmtId="1" fontId="10" fillId="0" borderId="21" applyAlignment="1" pivotButton="0" quotePrefix="0" xfId="0">
      <alignment horizontal="center" vertical="center" wrapText="1"/>
    </xf>
    <xf numFmtId="2" fontId="10" fillId="0" borderId="21" applyAlignment="1" pivotButton="0" quotePrefix="0" xfId="0">
      <alignment horizontal="center" vertical="center" wrapText="1"/>
    </xf>
    <xf numFmtId="166" fontId="10" fillId="0" borderId="21" applyAlignment="1" pivotButton="0" quotePrefix="0" xfId="0">
      <alignment horizontal="center" vertical="center" wrapText="1"/>
    </xf>
    <xf numFmtId="0" fontId="9" fillId="6" borderId="21" pivotButton="0" quotePrefix="0" xfId="0"/>
    <xf numFmtId="0" fontId="10" fillId="6" borderId="21" pivotButton="0" quotePrefix="0" xfId="0"/>
    <xf numFmtId="1" fontId="9" fillId="6" borderId="21" applyAlignment="1" pivotButton="0" quotePrefix="0" xfId="0">
      <alignment horizontal="center" vertical="center"/>
    </xf>
    <xf numFmtId="2" fontId="9" fillId="6" borderId="21" applyAlignment="1" pivotButton="0" quotePrefix="0" xfId="0">
      <alignment horizontal="center" vertical="center"/>
    </xf>
    <xf numFmtId="166" fontId="9" fillId="6" borderId="21" applyAlignment="1" pivotButton="0" quotePrefix="0" xfId="0">
      <alignment horizontal="center" vertical="center"/>
    </xf>
    <xf numFmtId="0" fontId="0" fillId="0" borderId="24" pivotButton="0" quotePrefix="0" xfId="0"/>
    <xf numFmtId="0" fontId="0" fillId="0" borderId="25" pivotButton="0" quotePrefix="0" xfId="0"/>
    <xf numFmtId="0" fontId="9" fillId="0" borderId="21" applyAlignment="1" pivotButton="0" quotePrefix="0" xfId="0">
      <alignment horizontal="left" vertical="top" wrapText="1"/>
    </xf>
    <xf numFmtId="0" fontId="10" fillId="0" borderId="21" applyAlignment="1" pivotButton="0" quotePrefix="0" xfId="0">
      <alignment horizontal="left" vertical="top" wrapText="1"/>
    </xf>
    <xf numFmtId="0" fontId="20" fillId="0" borderId="21" applyAlignment="1" pivotButton="0" quotePrefix="0" xfId="0">
      <alignment horizontal="center" vertical="top" wrapText="1"/>
    </xf>
    <xf numFmtId="0" fontId="10" fillId="0" borderId="21" applyAlignment="1" pivotButton="0" quotePrefix="0" xfId="0">
      <alignment horizontal="center" vertical="top" wrapText="1"/>
    </xf>
    <xf numFmtId="0" fontId="21" fillId="0" borderId="21" applyAlignment="1" pivotButton="0" quotePrefix="0" xfId="0">
      <alignment horizontal="left" vertical="top" wrapText="1"/>
    </xf>
    <xf numFmtId="0" fontId="6" fillId="0" borderId="9" applyAlignment="1" pivotButton="0" quotePrefix="0" xfId="0">
      <alignment vertical="center" wrapText="1"/>
    </xf>
    <xf numFmtId="165" fontId="6" fillId="0" borderId="9" applyAlignment="1" pivotButton="0" quotePrefix="0" xfId="0">
      <alignment vertical="center" wrapText="1"/>
    </xf>
    <xf numFmtId="0" fontId="9" fillId="0" borderId="9" applyAlignment="1" pivotButton="0" quotePrefix="0" xfId="0">
      <alignment vertical="top" wrapText="1"/>
    </xf>
    <xf numFmtId="0" fontId="10" fillId="0" borderId="14" applyAlignment="1" pivotButton="0" quotePrefix="0" xfId="0">
      <alignment vertical="top" wrapText="1"/>
    </xf>
    <xf numFmtId="0" fontId="10" fillId="0" borderId="9" applyAlignment="1" pivotButton="0" quotePrefix="0" xfId="0">
      <alignment vertical="top" wrapText="1"/>
    </xf>
    <xf numFmtId="0" fontId="10" fillId="0" borderId="17" applyAlignment="1" pivotButton="0" quotePrefix="0" xfId="0">
      <alignment vertical="top" wrapText="1"/>
    </xf>
    <xf numFmtId="2" fontId="10" fillId="0" borderId="9" applyAlignment="1" pivotButton="0" quotePrefix="0" xfId="0">
      <alignment vertical="top" wrapText="1"/>
    </xf>
    <xf numFmtId="0" fontId="10" fillId="0" borderId="11" applyAlignment="1" pivotButton="0" quotePrefix="0" xfId="0">
      <alignment vertical="top" wrapText="1"/>
    </xf>
    <xf numFmtId="0" fontId="9" fillId="0" borderId="16" applyAlignment="1" pivotButton="0" quotePrefix="0" xfId="0">
      <alignment vertical="top" wrapText="1"/>
    </xf>
    <xf numFmtId="0" fontId="10" fillId="0" borderId="13" applyAlignment="1" pivotButton="0" quotePrefix="0" xfId="0">
      <alignment vertical="top" wrapText="1"/>
    </xf>
    <xf numFmtId="0" fontId="16" fillId="0" borderId="0" applyAlignment="1" pivotButton="0" quotePrefix="0" xfId="0">
      <alignment horizontal="left" vertical="center" wrapText="1"/>
    </xf>
    <xf numFmtId="0" fontId="10" fillId="0" borderId="21" pivotButton="0" quotePrefix="0" xfId="0"/>
    <xf numFmtId="1" fontId="9" fillId="0" borderId="21" applyAlignment="1" pivotButton="0" quotePrefix="0" xfId="0">
      <alignment horizontal="center"/>
    </xf>
    <xf numFmtId="2" fontId="9" fillId="0" borderId="21" applyAlignment="1" pivotButton="0" quotePrefix="0" xfId="0">
      <alignment horizontal="center"/>
    </xf>
    <xf numFmtId="166" fontId="9" fillId="0" borderId="21" applyAlignment="1" pivotButton="0" quotePrefix="0" xfId="0">
      <alignment horizontal="center"/>
    </xf>
    <xf numFmtId="0" fontId="17" fillId="0" borderId="0" pivotButton="0" quotePrefix="0" xfId="0"/>
  </cellXfs>
  <cellStyles count="2">
    <cellStyle name="Normal" xfId="0" builtinId="0"/>
    <cellStyle name="Comma" xfId="1" builtinId="3"/>
  </cellStyles>
  <dxfs count="8">
    <dxf>
      <font>
        <b val="1"/>
        <color rgb="FF00B0F0"/>
      </font>
    </dxf>
    <dxf>
      <font>
        <b val="1"/>
        <color rgb="FFFF0000"/>
      </font>
    </dxf>
    <dxf>
      <font>
        <color auto="1"/>
      </font>
      <fill>
        <patternFill>
          <bgColor auto="1"/>
        </patternFill>
      </fill>
    </dxf>
    <dxf>
      <font>
        <b val="1"/>
        <color rgb="FFFF0000"/>
      </font>
      <fill>
        <patternFill>
          <bgColor auto="1"/>
        </patternFill>
      </fill>
    </dxf>
    <dxf>
      <font>
        <b val="1"/>
        <color rgb="FF00B050"/>
      </font>
      <fill>
        <patternFill>
          <bgColor auto="1"/>
        </patternFill>
      </fill>
    </dxf>
    <dxf>
      <font>
        <b val="1"/>
        <color theme="9" tint="-0.249946592608417"/>
      </font>
      <fill>
        <patternFill>
          <bgColor auto="1"/>
        </patternFill>
      </fill>
    </dxf>
    <dxf>
      <font>
        <name val="Arial"/>
        <b val="1"/>
        <color rgb="FF00B050"/>
      </font>
    </dxf>
    <dxf>
      <font>
        <name val="Arial"/>
        <b val="1"/>
        <color rgb="FFFF0000"/>
      </font>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twoCellAnchor editAs="oneCell">
    <from>
      <col>10</col>
      <colOff>225083</colOff>
      <row>1</row>
      <rowOff>42205</rowOff>
    </from>
    <to>
      <col>11</col>
      <colOff>180244</colOff>
      <row>3</row>
      <rowOff>105509</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4637434" y="211017"/>
          <a:ext cx="1713622" cy="54864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10</col>
      <colOff>225083</colOff>
      <row>1</row>
      <rowOff>42205</rowOff>
    </from>
    <to>
      <col>11</col>
      <colOff>180244</colOff>
      <row>3</row>
      <rowOff>105509</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4637434" y="211017"/>
          <a:ext cx="1713622" cy="548640"/>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10</col>
      <colOff>225083</colOff>
      <row>1</row>
      <rowOff>42205</rowOff>
    </from>
    <to>
      <col>11</col>
      <colOff>180244</colOff>
      <row>3</row>
      <rowOff>105509</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4637434" y="211017"/>
          <a:ext cx="1713622" cy="54864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10</col>
      <colOff>225083</colOff>
      <row>1</row>
      <rowOff>42205</rowOff>
    </from>
    <to>
      <col>11</col>
      <colOff>180244</colOff>
      <row>3</row>
      <rowOff>105509</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4637434" y="211017"/>
          <a:ext cx="1713622" cy="548640"/>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10</col>
      <colOff>225083</colOff>
      <row>1</row>
      <rowOff>42205</rowOff>
    </from>
    <to>
      <col>11</col>
      <colOff>180244</colOff>
      <row>3</row>
      <rowOff>105509</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4637434" y="211017"/>
          <a:ext cx="1713622" cy="548640"/>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10</col>
      <colOff>225083</colOff>
      <row>1</row>
      <rowOff>42205</rowOff>
    </from>
    <to>
      <col>11</col>
      <colOff>180244</colOff>
      <row>3</row>
      <rowOff>105509</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4637434" y="211017"/>
          <a:ext cx="1713622" cy="54864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Planit Theme1">
  <a:themeElements>
    <a:clrScheme name="Planit NRI">
      <a:dk1>
        <a:sysClr val="windowText" lastClr="000000"/>
      </a:dk1>
      <a:lt1>
        <a:srgbClr val="FFFFFF"/>
      </a:lt1>
      <a:dk2>
        <a:srgbClr val="444444"/>
      </a:dk2>
      <a:lt2>
        <a:srgbClr val="ECECEC"/>
      </a:lt2>
      <a:accent1>
        <a:srgbClr val="1414FF"/>
      </a:accent1>
      <a:accent2>
        <a:srgbClr val="FF6432"/>
      </a:accent2>
      <a:accent3>
        <a:srgbClr val="C55065"/>
      </a:accent3>
      <a:accent4>
        <a:srgbClr val="8A3C97"/>
      </a:accent4>
      <a:accent5>
        <a:srgbClr val="A5A5A5"/>
      </a:accent5>
      <a:accent6>
        <a:srgbClr val="00C8FF"/>
      </a:accent6>
      <a:hlink>
        <a:srgbClr val="000000"/>
      </a:hlink>
      <a:folHlink>
        <a:srgbClr val="000000"/>
      </a:folHlink>
    </a:clrScheme>
    <a:fontScheme name="Planit NRI">
      <a:majorFont>
        <a:latin typeface="Mangal Pro"/>
        <a:ea typeface=""/>
        <a:cs typeface=""/>
      </a:majorFont>
      <a:minorFont>
        <a:latin typeface="Mangal Pro"/>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Planit NRI" id="{D462E2DB-9BA1-41AA-A8CB-4C03DE604A6B}" vid="{CF2E8F42-8C0D-4770-9801-8A8039DA04A5}"/>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L35"/>
  <sheetViews>
    <sheetView showGridLines="0" workbookViewId="0">
      <selection activeCell="A1" sqref="A1"/>
    </sheetView>
  </sheetViews>
  <sheetFormatPr baseColWidth="8" defaultRowHeight="15"/>
  <cols>
    <col width="2.9" customWidth="1" min="1" max="1"/>
    <col width="24" customWidth="1" min="2" max="2"/>
    <col width="44" customWidth="1" min="3" max="3"/>
    <col width="11" customWidth="1" min="4" max="4"/>
    <col width="9" customWidth="1" min="5" max="5"/>
    <col width="9" customWidth="1" min="6" max="6"/>
    <col width="9" customWidth="1" min="7" max="7"/>
    <col width="11" customWidth="1" min="8" max="8"/>
    <col width="13" customWidth="1" min="9" max="9"/>
    <col width="14" customWidth="1" min="10" max="10"/>
    <col width="11" customWidth="1" min="11" max="11"/>
    <col width="11" customWidth="1" min="12" max="12"/>
    <col width="2" customWidth="1" min="13" max="13"/>
  </cols>
  <sheetData>
    <row r="1"/>
    <row r="2"/>
    <row r="3">
      <c r="B3" s="75" t="inlineStr">
        <is>
          <t>Compatibility Testing - Test Metrics Summary</t>
        </is>
      </c>
    </row>
    <row r="4"/>
    <row r="5">
      <c r="B5" s="76" t="inlineStr">
        <is>
          <t>Project:</t>
        </is>
      </c>
      <c r="C5" s="77" t="inlineStr">
        <is>
          <t>Learning Journey Assistant (Capstone project, Team Smart Stack)</t>
        </is>
      </c>
    </row>
    <row r="6">
      <c r="B6" s="76" t="inlineStr">
        <is>
          <t>Website tested:</t>
        </is>
      </c>
      <c r="C6" s="77" t="inlineStr">
        <is>
          <t>https://learning-journey-app.onrender.com</t>
        </is>
      </c>
    </row>
    <row r="7">
      <c r="B7" s="76" t="inlineStr">
        <is>
          <t>Pages tested:</t>
        </is>
      </c>
      <c r="C7" s="77" t="inlineStr">
        <is>
          <t>Login page and Student Dashboard</t>
        </is>
      </c>
    </row>
    <row r="8">
      <c r="B8" s="76" t="inlineStr">
        <is>
          <t>Tester:</t>
        </is>
      </c>
      <c r="C8" s="77" t="inlineStr">
        <is>
          <t>Ritik Rayamajhi</t>
        </is>
      </c>
    </row>
    <row r="9">
      <c r="B9" s="76" t="inlineStr">
        <is>
          <t>Date tested:</t>
        </is>
      </c>
      <c r="C9" s="78" t="n">
        <v>46300</v>
      </c>
    </row>
    <row r="10" ht="42" customHeight="1">
      <c r="B10" s="76" t="inlineStr">
        <is>
          <t>How I tested:</t>
        </is>
      </c>
      <c r="C10" s="77" t="inlineStr">
        <is>
          <t>I used the 47-item compatibility checklist on 5 different systems (3 desktop browsers and 2 phones). I wrote a Playwright script that opens the app in each browser, does the steps for each checklist item and times how long each test takes. Each system has its own sheet with the full results. My first run found 3 defects; after they were fixed I ran all the tests again. The results and times in this workbook are from that final run.</t>
        </is>
      </c>
    </row>
    <row r="11"/>
    <row r="12">
      <c r="B12" s="79" t="inlineStr">
        <is>
          <t>Metrics per system</t>
        </is>
      </c>
    </row>
    <row r="13" ht="40" customHeight="1">
      <c r="B13" s="80" t="inlineStr">
        <is>
          <t>System</t>
        </is>
      </c>
      <c r="C13" s="80" t="inlineStr">
        <is>
          <t>Environment</t>
        </is>
      </c>
      <c r="D13" s="80" t="inlineStr">
        <is>
          <t>Tests executed</t>
        </is>
      </c>
      <c r="E13" s="80" t="inlineStr">
        <is>
          <t>Passed</t>
        </is>
      </c>
      <c r="F13" s="80" t="inlineStr">
        <is>
          <t>Failed</t>
        </is>
      </c>
      <c r="G13" s="80" t="inlineStr">
        <is>
          <t>Not run</t>
        </is>
      </c>
      <c r="H13" s="80" t="inlineStr">
        <is>
          <t>Not applicable</t>
        </is>
      </c>
      <c r="I13" s="80" t="inlineStr">
        <is>
          <t>Total time (sec)</t>
        </is>
      </c>
      <c r="J13" s="80" t="inlineStr">
        <is>
          <t>Average time per test (sec)</t>
        </is>
      </c>
      <c r="K13" s="80" t="inlineStr">
        <is>
          <t>Pass rate</t>
        </is>
      </c>
      <c r="L13" s="80" t="inlineStr">
        <is>
          <t>Failure rate</t>
        </is>
      </c>
    </row>
    <row r="14" ht="30" customHeight="1">
      <c r="B14" s="81" t="inlineStr">
        <is>
          <t>Chrome (macOS)</t>
        </is>
      </c>
      <c r="C14" s="82" t="inlineStr">
        <is>
          <t>MacBook, macOS 26.5.2, Google Chrome 154.0.8037.95, screen 1440x900</t>
        </is>
      </c>
      <c r="D14" s="83">
        <f>'Chrome (macOS)'!F66</f>
        <v>21.0</v>
      </c>
      <c r="E14" s="83">
        <f>'Chrome (macOS)'!F67</f>
        <v>21.0</v>
      </c>
      <c r="F14" s="83">
        <f>'Chrome (macOS)'!F68</f>
        <v>0.0</v>
      </c>
      <c r="G14" s="83">
        <f>'Chrome (macOS)'!F69</f>
        <v>1.0</v>
      </c>
      <c r="H14" s="83">
        <f>'Chrome (macOS)'!F70</f>
        <v>25.0</v>
      </c>
      <c r="I14" s="84">
        <f>'Chrome (macOS)'!F71</f>
        <v>71.27</v>
      </c>
      <c r="J14" s="84">
        <f>'Chrome (macOS)'!F72</f>
        <v>3.393809523809524</v>
      </c>
      <c r="K14" s="85">
        <f>'Chrome (macOS)'!F73</f>
        <v>1.0</v>
      </c>
      <c r="L14" s="85">
        <f>'Chrome (macOS)'!F74</f>
        <v>0.0</v>
      </c>
    </row>
    <row r="15" ht="30" customHeight="1">
      <c r="B15" s="81" t="inlineStr">
        <is>
          <t>Firefox (macOS)</t>
        </is>
      </c>
      <c r="C15" s="82" t="inlineStr">
        <is>
          <t>MacBook, macOS 26.5.2, Mozilla Firefox 155.0 (Playwright build), screen 1440x900</t>
        </is>
      </c>
      <c r="D15" s="83">
        <f>'Firefox (macOS)'!F66</f>
        <v>21.0</v>
      </c>
      <c r="E15" s="83">
        <f>'Firefox (macOS)'!F67</f>
        <v>21.0</v>
      </c>
      <c r="F15" s="83">
        <f>'Firefox (macOS)'!F68</f>
        <v>0.0</v>
      </c>
      <c r="G15" s="83">
        <f>'Firefox (macOS)'!F69</f>
        <v>1.0</v>
      </c>
      <c r="H15" s="83">
        <f>'Firefox (macOS)'!F70</f>
        <v>25.0</v>
      </c>
      <c r="I15" s="84">
        <f>'Firefox (macOS)'!F71</f>
        <v>72.58</v>
      </c>
      <c r="J15" s="84">
        <f>'Firefox (macOS)'!F72</f>
        <v>3.4561904761904763</v>
      </c>
      <c r="K15" s="85">
        <f>'Firefox (macOS)'!F73</f>
        <v>1.0</v>
      </c>
      <c r="L15" s="85">
        <f>'Firefox (macOS)'!F74</f>
        <v>0.0</v>
      </c>
    </row>
    <row r="16" ht="30" customHeight="1">
      <c r="B16" s="81" t="inlineStr">
        <is>
          <t>Safari (macOS)</t>
        </is>
      </c>
      <c r="C16" s="82" t="inlineStr">
        <is>
          <t>MacBook, macOS 26.5.2, Safari engine WebKit 26.6 (Playwright build), screen 1440x900</t>
        </is>
      </c>
      <c r="D16" s="83">
        <f>'Safari (macOS)'!F66</f>
        <v>21.0</v>
      </c>
      <c r="E16" s="83">
        <f>'Safari (macOS)'!F67</f>
        <v>21.0</v>
      </c>
      <c r="F16" s="83">
        <f>'Safari (macOS)'!F68</f>
        <v>0.0</v>
      </c>
      <c r="G16" s="83">
        <f>'Safari (macOS)'!F69</f>
        <v>1.0</v>
      </c>
      <c r="H16" s="83">
        <f>'Safari (macOS)'!F70</f>
        <v>25.0</v>
      </c>
      <c r="I16" s="84">
        <f>'Safari (macOS)'!F71</f>
        <v>70.98</v>
      </c>
      <c r="J16" s="84">
        <f>'Safari (macOS)'!F72</f>
        <v>3.3800000000000003</v>
      </c>
      <c r="K16" s="85">
        <f>'Safari (macOS)'!F73</f>
        <v>1.0</v>
      </c>
      <c r="L16" s="85">
        <f>'Safari (macOS)'!F74</f>
        <v>0.0</v>
      </c>
    </row>
    <row r="17" ht="30" customHeight="1">
      <c r="B17" s="81" t="inlineStr">
        <is>
          <t>iPhone 13 (Safari)</t>
        </is>
      </c>
      <c r="C17" s="82" t="inlineStr">
        <is>
          <t>Apple iPhone 13 emulator (iOS Safari, WebKit 26.6) on macOS, screen 390x664, touch on</t>
        </is>
      </c>
      <c r="D17" s="83">
        <f>'iPhone 13 (Safari)'!F66</f>
        <v>20.0</v>
      </c>
      <c r="E17" s="83">
        <f>'iPhone 13 (Safari)'!F67</f>
        <v>20.0</v>
      </c>
      <c r="F17" s="83">
        <f>'iPhone 13 (Safari)'!F68</f>
        <v>0.0</v>
      </c>
      <c r="G17" s="83">
        <f>'iPhone 13 (Safari)'!F69</f>
        <v>1.0</v>
      </c>
      <c r="H17" s="83">
        <f>'iPhone 13 (Safari)'!F70</f>
        <v>26.0</v>
      </c>
      <c r="I17" s="84">
        <f>'iPhone 13 (Safari)'!F71</f>
        <v>67.82000000000001</v>
      </c>
      <c r="J17" s="84">
        <f>'iPhone 13 (Safari)'!F72</f>
        <v>3.3910000000000005</v>
      </c>
      <c r="K17" s="85">
        <f>'iPhone 13 (Safari)'!F73</f>
        <v>1.0</v>
      </c>
      <c r="L17" s="85">
        <f>'iPhone 13 (Safari)'!F74</f>
        <v>0.0</v>
      </c>
    </row>
    <row r="18" ht="30" customHeight="1">
      <c r="B18" s="81" t="inlineStr">
        <is>
          <t>Pixel 7 (Chrome)</t>
        </is>
      </c>
      <c r="C18" s="82" t="inlineStr">
        <is>
          <t>Google Pixel 7 emulator (Android, Chrome 154.0.8037.95) on macOS, screen 412x839, touch on</t>
        </is>
      </c>
      <c r="D18" s="83">
        <f>'Pixel 7 (Chrome)'!F66</f>
        <v>20.0</v>
      </c>
      <c r="E18" s="83">
        <f>'Pixel 7 (Chrome)'!F67</f>
        <v>20.0</v>
      </c>
      <c r="F18" s="83">
        <f>'Pixel 7 (Chrome)'!F68</f>
        <v>0.0</v>
      </c>
      <c r="G18" s="83">
        <f>'Pixel 7 (Chrome)'!F69</f>
        <v>1.0</v>
      </c>
      <c r="H18" s="83">
        <f>'Pixel 7 (Chrome)'!F70</f>
        <v>26.0</v>
      </c>
      <c r="I18" s="84">
        <f>'Pixel 7 (Chrome)'!F71</f>
        <v>65.05</v>
      </c>
      <c r="J18" s="84">
        <f>'Pixel 7 (Chrome)'!F72</f>
        <v>3.2525</v>
      </c>
      <c r="K18" s="85">
        <f>'Pixel 7 (Chrome)'!F73</f>
        <v>1.0</v>
      </c>
      <c r="L18" s="85">
        <f>'Pixel 7 (Chrome)'!F74</f>
        <v>0.0</v>
      </c>
    </row>
    <row r="19">
      <c r="B19" s="86" t="inlineStr">
        <is>
          <t>All systems</t>
        </is>
      </c>
      <c r="C19" s="87" t="inlineStr">
        <is>
          <t>Totals across the 5 systems</t>
        </is>
      </c>
      <c r="D19" s="88">
        <f>SUM(D14:D18)</f>
        <v>103.0</v>
      </c>
      <c r="E19" s="88">
        <f>SUM(E14:E18)</f>
        <v>103.0</v>
      </c>
      <c r="F19" s="88">
        <f>SUM(F14:F18)</f>
        <v>0.0</v>
      </c>
      <c r="G19" s="88">
        <f>SUM(G14:G18)</f>
        <v>5.0</v>
      </c>
      <c r="H19" s="88">
        <f>SUM(H14:H18)</f>
        <v>127.0</v>
      </c>
      <c r="I19" s="89">
        <f>SUM(I14:I18)</f>
        <v>347.7</v>
      </c>
      <c r="J19" s="89">
        <f>IFERROR(I19/D19,0)</f>
        <v>3.3757281553398055</v>
      </c>
      <c r="K19" s="90">
        <f>IFERROR(E19/D19,0)</f>
        <v>1.0</v>
      </c>
      <c r="L19" s="90">
        <f>IFERROR(F19/D19,0)</f>
        <v>0.0</v>
      </c>
    </row>
    <row r="20"/>
    <row r="21">
      <c r="B21" s="79" t="inlineStr">
        <is>
          <t>What the numbers mean</t>
        </is>
      </c>
    </row>
    <row r="22" ht="28" customHeight="1">
      <c r="B22" s="76" t="inlineStr">
        <is>
          <t>Tests executed</t>
        </is>
      </c>
      <c r="C22" s="77" t="inlineStr">
        <is>
          <t>Tests that I actually ran and that got a Pass or Fail. "Not applicable" means the app doesn't have that feature (e.g. videos, file upload). "Not run" means I couldn't test it on this system.</t>
        </is>
      </c>
    </row>
    <row r="23" ht="28" customHeight="1">
      <c r="B23" s="76" t="inlineStr">
        <is>
          <t>Total time</t>
        </is>
      </c>
      <c r="C23" s="77" t="inlineStr">
        <is>
          <t>Adds up the time of every test I ran on that system (the "Time Taken (sec)" column on each sheet).</t>
        </is>
      </c>
    </row>
    <row r="24" ht="28" customHeight="1">
      <c r="B24" s="76" t="inlineStr">
        <is>
          <t>Average time per test</t>
        </is>
      </c>
      <c r="C24" s="77" t="inlineStr">
        <is>
          <t>Total time ÷ Tests executed.</t>
        </is>
      </c>
    </row>
    <row r="25" ht="28" customHeight="1">
      <c r="B25" s="76" t="inlineStr">
        <is>
          <t>Pass rate</t>
        </is>
      </c>
      <c r="C25" s="77" t="inlineStr">
        <is>
          <t>Passed ÷ Tests executed.</t>
        </is>
      </c>
    </row>
    <row r="26" ht="28" customHeight="1">
      <c r="B26" s="76" t="inlineStr">
        <is>
          <t>Failure rate</t>
        </is>
      </c>
      <c r="C26" s="77" t="inlineStr">
        <is>
          <t>Failed ÷ Tests executed. Pass rate + Failure rate = 100%.</t>
        </is>
      </c>
    </row>
    <row r="27" ht="28" customHeight="1">
      <c r="B27" s="76" t="inlineStr">
        <is>
          <t>First test run</t>
        </is>
      </c>
      <c r="C27" s="77" t="inlineStr">
        <is>
          <t>Before the fixes, my first run had 11 failed tests out of 103 (overall pass rate 89.3%) caused by the 3 defects below. After the fixes every test passed.</t>
        </is>
      </c>
    </row>
    <row r="28" ht="28" customHeight="1">
      <c r="B28" s="76" t="inlineStr">
        <is>
          <t>Note on times</t>
        </is>
      </c>
      <c r="C28" s="77" t="inlineStr">
        <is>
          <t>The times come from the automated script, so they are much faster than doing it by hand. Each time includes opening the page and logging in for that test.</t>
        </is>
      </c>
    </row>
    <row r="29"/>
    <row r="30"/>
    <row r="31">
      <c r="B31" s="79" t="inlineStr">
        <is>
          <t>Defects found (first run) and their status</t>
        </is>
      </c>
    </row>
    <row r="32">
      <c r="B32" s="80" t="inlineStr">
        <is>
          <t>Defect ID</t>
        </is>
      </c>
      <c r="C32" s="80" t="inlineStr">
        <is>
          <t>Details</t>
        </is>
      </c>
      <c r="D32" s="91" t="n"/>
      <c r="E32" s="91" t="n"/>
      <c r="F32" s="91" t="n"/>
      <c r="G32" s="92" t="n"/>
      <c r="H32" s="80" t="inlineStr">
        <is>
          <t>Severity</t>
        </is>
      </c>
      <c r="I32" s="80" t="inlineStr">
        <is>
          <t>Checklist ID</t>
        </is>
      </c>
      <c r="J32" s="80" t="inlineStr">
        <is>
          <t>Systems affected</t>
        </is>
      </c>
      <c r="K32" s="80" t="inlineStr">
        <is>
          <t>Status</t>
        </is>
      </c>
      <c r="L32" s="92" t="n"/>
    </row>
    <row r="33" ht="45" customHeight="1">
      <c r="B33" s="93" t="inlineStr">
        <is>
          <t>DEF-01</t>
        </is>
      </c>
      <c r="C33" s="94" t="inlineStr">
        <is>
          <t>With JavaScript disabled the app shows a blank white page and no message. Expected: a message like "Please enable JavaScript to use this app" (e.g. a &lt;noscript&gt; tag in layout.tsx).</t>
        </is>
      </c>
      <c r="D33" s="91" t="n"/>
      <c r="E33" s="91" t="n"/>
      <c r="F33" s="91" t="n"/>
      <c r="G33" s="92" t="n"/>
      <c r="H33" s="95" t="inlineStr">
        <is>
          <t>Minor</t>
        </is>
      </c>
      <c r="I33" s="96" t="n">
        <v>10</v>
      </c>
      <c r="J33" s="94" t="inlineStr">
        <is>
          <t>All 5 systems</t>
        </is>
      </c>
      <c r="K33" s="97" t="inlineStr">
        <is>
          <t>Fixed: added a message telling users to turn on JavaScript. Retested - Pass</t>
        </is>
      </c>
      <c r="L33" s="92" t="n"/>
    </row>
    <row r="34" ht="45" customHeight="1">
      <c r="B34" s="93" t="inlineStr">
        <is>
          <t>DEF-02</t>
        </is>
      </c>
      <c r="C34" s="94" t="inlineStr">
        <is>
          <t>AI study plan can't be generated: the server returns an error because no GROQ_API_KEY is configured on Render. Same on every system. This is a configuration issue (missing setting), not a bug in the code.</t>
        </is>
      </c>
      <c r="D34" s="91" t="n"/>
      <c r="E34" s="91" t="n"/>
      <c r="F34" s="91" t="n"/>
      <c r="G34" s="92" t="n"/>
      <c r="H34" s="95" t="inlineStr">
        <is>
          <t>Minor</t>
        </is>
      </c>
      <c r="I34" s="96" t="n">
        <v>30</v>
      </c>
      <c r="J34" s="94" t="inlineStr">
        <is>
          <t>All 5 systems</t>
        </is>
      </c>
      <c r="K34" s="97" t="inlineStr">
        <is>
          <t>Fixed: GROQ_API_KEY added to the backend on Render. Retested - Pass</t>
        </is>
      </c>
      <c r="L34" s="92" t="n"/>
    </row>
    <row r="35" ht="45" customHeight="1">
      <c r="B35" s="93" t="inlineStr">
        <is>
          <t>DEF-03</t>
        </is>
      </c>
      <c r="C35" s="94" t="inlineStr">
        <is>
          <t>On iPhone at 200% page zoom (very narrow screen, ~195px), the score labels in 'Mastery by learning outcome' overflow the right edge and cause sideways scrolling. Fix: let the label wrap under the outcome text on very small screens.</t>
        </is>
      </c>
      <c r="D35" s="91" t="n"/>
      <c r="E35" s="91" t="n"/>
      <c r="F35" s="91" t="n"/>
      <c r="G35" s="92" t="n"/>
      <c r="H35" s="95" t="inlineStr">
        <is>
          <t>Minor</t>
        </is>
      </c>
      <c r="I35" s="96" t="n">
        <v>9</v>
      </c>
      <c r="J35" s="94" t="inlineStr">
        <is>
          <t>iPhone 13 (Safari)</t>
        </is>
      </c>
      <c r="K35" s="97" t="inlineStr">
        <is>
          <t>Fixed: text and score labels now wrap on very narrow screens. Retested - Pass</t>
        </is>
      </c>
      <c r="L35" s="92" t="n"/>
    </row>
  </sheetData>
  <mergeCells count="21">
    <mergeCell ref="C27:L27"/>
    <mergeCell ref="C34:G34"/>
    <mergeCell ref="C23:L23"/>
    <mergeCell ref="K34:L34"/>
    <mergeCell ref="C8:L8"/>
    <mergeCell ref="C33:G33"/>
    <mergeCell ref="K33:L33"/>
    <mergeCell ref="C7:L7"/>
    <mergeCell ref="C28:L28"/>
    <mergeCell ref="C35:G35"/>
    <mergeCell ref="K35:L35"/>
    <mergeCell ref="K32:L32"/>
    <mergeCell ref="C6:L6"/>
    <mergeCell ref="C24:L24"/>
    <mergeCell ref="C5:L5"/>
    <mergeCell ref="C26:L26"/>
    <mergeCell ref="C10:L10"/>
    <mergeCell ref="C25:L25"/>
    <mergeCell ref="C22:L22"/>
    <mergeCell ref="C32:G32"/>
    <mergeCell ref="C9:L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codeName="Sheet1">
    <tabColor theme="7" tint="0.3999755851924192"/>
    <outlinePr summaryBelow="1" summaryRight="1"/>
    <pageSetUpPr/>
  </sheetPr>
  <dimension ref="A2:M75"/>
  <sheetViews>
    <sheetView showGridLines="0" workbookViewId="0">
      <pane ySplit="12" topLeftCell="A13" activePane="bottomLeft" state="frozen"/>
      <selection pane="bottomLeft" activeCell="A1" sqref="A1"/>
    </sheetView>
  </sheetViews>
  <sheetFormatPr baseColWidth="8" defaultColWidth="9.09765625" defaultRowHeight="12.75" customHeight="1"/>
  <cols>
    <col width="2.8984375" customWidth="1" style="6" min="1" max="1"/>
    <col width="4.296875" customWidth="1" style="6" min="2" max="2"/>
    <col width="7.59765625" customWidth="1" style="7" min="3" max="3"/>
    <col width="21.8984375" customWidth="1" style="8" min="4" max="4"/>
    <col width="72" customWidth="1" style="9" min="5" max="5"/>
    <col width="14.59765625" bestFit="1" customWidth="1" style="6" min="6" max="6"/>
    <col width="24.59765625" customWidth="1" style="6" min="7" max="7"/>
    <col width="18.19921875" customWidth="1" style="6" min="8" max="8"/>
    <col width="19.3984375" bestFit="1" customWidth="1" style="6" min="9" max="9"/>
    <col width="19.3984375" customWidth="1" style="6" min="10" max="10"/>
    <col width="25" customWidth="1" style="6" min="11" max="11"/>
    <col width="16" customWidth="1" style="6" min="12" max="12"/>
    <col width="3.296875" customWidth="1" style="6" min="13" max="13"/>
    <col width="9.09765625" customWidth="1" style="3" min="14" max="16384"/>
  </cols>
  <sheetData>
    <row r="1" ht="13.3" customHeight="1" thickBot="1"/>
    <row r="2">
      <c r="B2" s="15" t="n"/>
      <c r="C2" s="16" t="n"/>
      <c r="D2" s="17" t="n"/>
      <c r="E2" s="18" t="n"/>
      <c r="F2" s="19" t="n"/>
      <c r="G2" s="19" t="n"/>
      <c r="H2" s="19" t="n"/>
      <c r="I2" s="19" t="n"/>
      <c r="J2" s="19" t="n"/>
      <c r="K2" s="19" t="n"/>
      <c r="L2" s="20" t="n"/>
    </row>
    <row r="3" ht="25.5" customHeight="1">
      <c r="B3" s="21" t="n"/>
      <c r="C3" s="22" t="inlineStr">
        <is>
          <t>Compatibility Testing Checklist</t>
        </is>
      </c>
      <c r="E3" s="23" t="n"/>
      <c r="F3" s="23" t="n"/>
      <c r="G3" s="23" t="n"/>
      <c r="H3" s="23" t="n"/>
      <c r="I3" s="23" t="n"/>
      <c r="J3" s="23" t="n"/>
      <c r="K3" s="23" t="n"/>
      <c r="L3" s="24" t="n"/>
    </row>
    <row r="4">
      <c r="B4" s="21" t="n"/>
      <c r="L4" s="24" t="n"/>
    </row>
    <row r="5">
      <c r="B5" s="21" t="n"/>
      <c r="C5" s="3" t="n"/>
      <c r="D5" s="55" t="inlineStr">
        <is>
          <t xml:space="preserve">Test object: </t>
        </is>
      </c>
      <c r="E5" s="98" t="inlineStr">
        <is>
          <t>Learning Journey Assistant (https://learning-journey-app.onrender.com)</t>
        </is>
      </c>
      <c r="F5" s="57" t="inlineStr">
        <is>
          <t xml:space="preserve">Name of the system being tested </t>
        </is>
      </c>
      <c r="L5" s="24" t="n"/>
    </row>
    <row r="6" ht="26" customHeight="1">
      <c r="B6" s="21" t="n"/>
      <c r="C6" s="3" t="n"/>
      <c r="D6" s="55" t="inlineStr">
        <is>
          <t>Test basis:</t>
        </is>
      </c>
      <c r="E6" s="98" t="inlineStr">
        <is>
          <t>User stories: a student logs in and views their mastery scores, knowledge gaps, feedback history and AI study plan. Also past experience with similar web apps.</t>
        </is>
      </c>
      <c r="F6" s="57" t="inlineStr">
        <is>
          <t>What test design is based on - for example, requirements, epics, user stories, or past experience with similar systems</t>
        </is>
      </c>
      <c r="L6" s="24" t="n"/>
    </row>
    <row r="7">
      <c r="B7" s="21" t="n"/>
      <c r="C7" s="3" t="n"/>
      <c r="D7" s="55" t="inlineStr">
        <is>
          <t>Page name:</t>
        </is>
      </c>
      <c r="E7" s="98" t="inlineStr">
        <is>
          <t>Login page and Student Dashboard</t>
        </is>
      </c>
      <c r="F7" s="57" t="inlineStr">
        <is>
          <t>Name of the page or tab being tested</t>
        </is>
      </c>
      <c r="L7" s="24" t="n"/>
    </row>
    <row r="8" ht="26" customHeight="1">
      <c r="B8" s="21" t="n"/>
      <c r="C8" s="3" t="n"/>
      <c r="D8" s="55" t="inlineStr">
        <is>
          <t>Environment details:</t>
        </is>
      </c>
      <c r="E8" s="98" t="inlineStr">
        <is>
          <t>MacBook, macOS 26.5.2, Google Chrome 154.0.8037.95, screen 1440x900. Tests run with a Playwright automation script.</t>
        </is>
      </c>
      <c r="F8" s="57" t="inlineStr">
        <is>
          <t>Describe the test environment - e.g. Apple iPhone X running iOS Y, Edge browser version aa.bb</t>
        </is>
      </c>
      <c r="L8" s="24" t="n"/>
    </row>
    <row r="9">
      <c r="B9" s="21" t="n"/>
      <c r="C9" s="3" t="n"/>
      <c r="D9" s="55" t="inlineStr">
        <is>
          <t>Tester name:</t>
        </is>
      </c>
      <c r="E9" s="98" t="inlineStr">
        <is>
          <t>Ritik Rayamajhi</t>
        </is>
      </c>
      <c r="F9" s="57" t="inlineStr">
        <is>
          <t>Name of the person performing the testing</t>
        </is>
      </c>
      <c r="L9" s="24" t="n"/>
    </row>
    <row r="10">
      <c r="B10" s="21" t="n"/>
      <c r="C10" s="3" t="n"/>
      <c r="D10" s="55" t="inlineStr">
        <is>
          <t>Date tested:</t>
        </is>
      </c>
      <c r="E10" s="99" t="n">
        <v>46300</v>
      </c>
      <c r="F10" s="57" t="inlineStr">
        <is>
          <t>Date tests were run on</t>
        </is>
      </c>
      <c r="L10" s="24" t="n"/>
    </row>
    <row r="11">
      <c r="B11" s="21" t="n"/>
      <c r="L11" s="24" t="n"/>
    </row>
    <row r="12" ht="25.5" customFormat="1" customHeight="1" s="4">
      <c r="A12" s="26" t="n"/>
      <c r="B12" s="21" t="n"/>
      <c r="C12" s="66" t="inlineStr">
        <is>
          <t>ID</t>
        </is>
      </c>
      <c r="D12" s="67" t="inlineStr">
        <is>
          <t>Perspective</t>
        </is>
      </c>
      <c r="E12" s="68" t="inlineStr">
        <is>
          <t>Checklist</t>
        </is>
      </c>
      <c r="F12" s="68" t="inlineStr">
        <is>
          <t>Result</t>
        </is>
      </c>
      <c r="G12" s="69" t="inlineStr">
        <is>
          <t>Comments</t>
        </is>
      </c>
      <c r="H12" s="69" t="inlineStr">
        <is>
          <t>Defect ID</t>
        </is>
      </c>
      <c r="I12" s="70" t="inlineStr">
        <is>
          <t>Defect Severity</t>
        </is>
      </c>
      <c r="J12" s="70" t="inlineStr">
        <is>
          <t>Defect Details</t>
        </is>
      </c>
      <c r="K12" s="69" t="inlineStr">
        <is>
          <t>Test Evidence</t>
        </is>
      </c>
      <c r="L12" s="69" t="inlineStr">
        <is>
          <t>Time Taken (sec)</t>
        </is>
      </c>
      <c r="M12" s="26" t="n"/>
    </row>
    <row r="13" ht="67" customHeight="1">
      <c r="B13" s="21" t="n"/>
      <c r="C13" s="65" t="n">
        <v>1</v>
      </c>
      <c r="D13" s="71" t="inlineStr">
        <is>
          <t>Page structure</t>
        </is>
      </c>
      <c r="E13" s="41" t="inlineStr">
        <is>
          <t>Has the correct page template, style sheet and/or structure been used, matching company and project requirements?</t>
        </is>
      </c>
      <c r="F13" s="100" t="inlineStr">
        <is>
          <t>Pass</t>
        </is>
      </c>
      <c r="G13" s="101" t="inlineStr">
        <is>
          <t>Both pages (login and dashboard) use the same layout: logo at the top, white rounded cards on a light grey background.</t>
        </is>
      </c>
      <c r="H13" s="102" t="n"/>
      <c r="I13" s="103" t="n"/>
      <c r="J13" s="77" t="n"/>
      <c r="K13" s="102" t="inlineStr">
        <is>
          <t>Compatibility Testing Evidence/chrome-dashboard.png</t>
        </is>
      </c>
      <c r="L13" s="104" t="n">
        <v>4.45</v>
      </c>
    </row>
    <row r="14" ht="80" customHeight="1">
      <c r="B14" s="21" t="n"/>
      <c r="C14" s="65" t="n">
        <v>2</v>
      </c>
      <c r="D14" s="71" t="inlineStr">
        <is>
          <t>Page structure</t>
        </is>
      </c>
      <c r="E14" s="45" t="inlineStr">
        <is>
          <t xml:space="preserve">Do page colours and fonts match company branding? </t>
        </is>
      </c>
      <c r="F14" s="100" t="inlineStr">
        <is>
          <t>Pass</t>
        </is>
      </c>
      <c r="G14" s="102" t="inlineStr">
        <is>
          <t>We don't have an official brand guide, so I checked the purple colour is the same on all buttons and the logo on both pages. It matched.</t>
        </is>
      </c>
      <c r="H14" s="102" t="n"/>
      <c r="I14" s="105" t="n"/>
      <c r="J14" s="105" t="n"/>
      <c r="K14" s="102" t="n"/>
      <c r="L14" s="104" t="n">
        <v>3.67</v>
      </c>
    </row>
    <row r="15" ht="54" customHeight="1">
      <c r="B15" s="21" t="n"/>
      <c r="C15" s="65" t="n">
        <v>3</v>
      </c>
      <c r="D15" s="71" t="inlineStr">
        <is>
          <t>Page structure</t>
        </is>
      </c>
      <c r="E15" s="45" t="inlineStr">
        <is>
          <t>Does the page description (e.g. in the title bar or tab) correctly reflect the page content?</t>
        </is>
      </c>
      <c r="F15" s="100" t="inlineStr">
        <is>
          <t>Pass</t>
        </is>
      </c>
      <c r="G15" s="102" t="inlineStr">
        <is>
          <t>The tab title says "Learning Journey Assistant" on both pages, which matches the app name.</t>
        </is>
      </c>
      <c r="H15" s="102" t="n"/>
      <c r="I15" s="105" t="n"/>
      <c r="J15" s="105" t="n"/>
      <c r="K15" s="102" t="n"/>
      <c r="L15" s="104" t="n">
        <v>3.68</v>
      </c>
    </row>
    <row r="16" ht="119" customHeight="1">
      <c r="B16" s="21" t="n"/>
      <c r="C16" s="65" t="n">
        <v>4</v>
      </c>
      <c r="D16" s="71" t="inlineStr">
        <is>
          <t>Page structure</t>
        </is>
      </c>
      <c r="E16" s="45" t="inlineStr">
        <is>
          <t xml:space="preserve">Have correct and consistent fonts, text sizes and text positions been used, including: 
- Header 
- Menu bar 
- Body/content 
- Input and output fields
- Buttons (e.g. Next/Previous, Submit/Cancel etc.) 
- Footer </t>
        </is>
      </c>
      <c r="F16" s="100" t="inlineStr">
        <is>
          <t>Pass</t>
        </is>
      </c>
      <c r="G16" s="102" t="inlineStr">
        <is>
          <t>Header, body text, dropdown, password box and buttons all use the same font (Geist). Headings are bigger and bold, body text is smaller. Nothing overlapped. (No menu bar or footer in our app.)</t>
        </is>
      </c>
      <c r="H16" s="102" t="n"/>
      <c r="I16" s="105" t="n"/>
      <c r="J16" s="105" t="n"/>
      <c r="K16" s="102" t="n"/>
      <c r="L16" s="104" t="n">
        <v>4.36</v>
      </c>
    </row>
    <row r="17" ht="106" customHeight="1">
      <c r="B17" s="21" t="n"/>
      <c r="C17" s="65" t="n">
        <v>5</v>
      </c>
      <c r="D17" s="71" t="inlineStr">
        <is>
          <t>Page structure</t>
        </is>
      </c>
      <c r="E17" s="45" t="inlineStr">
        <is>
          <t>Does the page display correctly across different screen resolutions, including:
- High definition (HD) 
- Recommended display setting (on computer)
- Lowest display setting (on computer)
- Devices (e.g. mobile, tablet, watch)</t>
        </is>
      </c>
      <c r="F17" s="100" t="inlineStr">
        <is>
          <t>Pass</t>
        </is>
      </c>
      <c r="G17" s="102" t="inlineStr">
        <is>
          <t>Checked the dashboard at 1920x1080 (HD), 1440x900 (recommended on this Mac) and 1366x768 / 1024x768 (lowest). It looked fine at all of them. Phones are tested on the mobile sheets.</t>
        </is>
      </c>
      <c r="H17" s="102" t="n"/>
      <c r="I17" s="105" t="n"/>
      <c r="J17" s="105" t="n"/>
      <c r="K17" s="102" t="inlineStr">
        <is>
          <t>Compatibility Testing Evidence/chrome-resolution-small.png</t>
        </is>
      </c>
      <c r="L17" s="104" t="n">
        <v>4.18</v>
      </c>
    </row>
    <row r="18" ht="67" customHeight="1">
      <c r="B18" s="21" t="n"/>
      <c r="C18" s="65" t="n">
        <v>6</v>
      </c>
      <c r="D18" s="71" t="inlineStr">
        <is>
          <t>Page structure</t>
        </is>
      </c>
      <c r="E18" s="45" t="inlineStr">
        <is>
          <t>Does the page scroll smoothly without lagging?</t>
        </is>
      </c>
      <c r="F18" s="100" t="inlineStr">
        <is>
          <t>Pass</t>
        </is>
      </c>
      <c r="G18" s="102" t="inlineStr">
        <is>
          <t>Scrolled from the top to the bottom of the dashboard. It was smooth with no lag (about 61 frames per second).</t>
        </is>
      </c>
      <c r="H18" s="102" t="n"/>
      <c r="I18" s="105" t="n"/>
      <c r="J18" s="105" t="n"/>
      <c r="K18" s="102" t="n"/>
      <c r="L18" s="104" t="n">
        <v>4.3</v>
      </c>
    </row>
    <row r="19" ht="67" customHeight="1">
      <c r="B19" s="21" t="n"/>
      <c r="C19" s="65" t="n">
        <v>7</v>
      </c>
      <c r="D19" s="71" t="inlineStr">
        <is>
          <t>Page structure</t>
        </is>
      </c>
      <c r="E19" s="45" t="inlineStr">
        <is>
          <t>Is the page content viewable without the need for a horizontal scroll bar? (horizontal scrolling is generally not recommended/preferred)</t>
        </is>
      </c>
      <c r="F19" s="100" t="inlineStr">
        <is>
          <t>Pass</t>
        </is>
      </c>
      <c r="G19" s="102" t="inlineStr">
        <is>
          <t>No horizontal scroll bar on the login page or the dashboard. Everything fits the width of the screen.</t>
        </is>
      </c>
      <c r="H19" s="102" t="n"/>
      <c r="I19" s="105" t="n"/>
      <c r="J19" s="105" t="n"/>
      <c r="K19" s="102" t="n"/>
      <c r="L19" s="104" t="n">
        <v>3.81</v>
      </c>
    </row>
    <row r="20" ht="93" customHeight="1">
      <c r="B20" s="21" t="n"/>
      <c r="C20" s="65" t="n">
        <v>8</v>
      </c>
      <c r="D20" s="71" t="inlineStr">
        <is>
          <t>Page structure</t>
        </is>
      </c>
      <c r="E20" s="45" t="inlineStr">
        <is>
          <t>Do menus function correctly when opened, traversed and activated/clicked, including: 
- Hamburger menu
- Expandable menus
- Collapsible menus
- Drop down "more information" menus (usually available via an ellipsis …)</t>
        </is>
      </c>
      <c r="F20" s="106" t="inlineStr">
        <is>
          <t>Pass</t>
        </is>
      </c>
      <c r="G20" s="102" t="inlineStr">
        <is>
          <t>Our app has no hamburger or expandable menus. The only menu is the student dropdown on the login page - I picked all 5 students one by one and each one got selected.</t>
        </is>
      </c>
      <c r="H20" s="102" t="n"/>
      <c r="I20" s="105" t="n"/>
      <c r="J20" s="105" t="n"/>
      <c r="K20" s="102" t="n"/>
      <c r="L20" s="104" t="n">
        <v>0.93</v>
      </c>
    </row>
    <row r="21" ht="67" customHeight="1">
      <c r="B21" s="21" t="n"/>
      <c r="C21" s="65" t="n">
        <v>9</v>
      </c>
      <c r="D21" s="71" t="inlineStr">
        <is>
          <t>Page structure</t>
        </is>
      </c>
      <c r="E21" s="45" t="inlineStr">
        <is>
          <t>Does the page view correctly when using zoom in and out?</t>
        </is>
      </c>
      <c r="F21" s="106" t="inlineStr">
        <is>
          <t>Pass</t>
        </is>
      </c>
      <c r="G21" s="102" t="inlineStr">
        <is>
          <t>Zoomed in to 200% and out to 50%. The text and bars resized properly and nothing went off the screen.</t>
        </is>
      </c>
      <c r="H21" s="102" t="n"/>
      <c r="I21" s="105" t="n"/>
      <c r="J21" s="105" t="n"/>
      <c r="K21" s="102" t="inlineStr">
        <is>
          <t>Compatibility Testing Evidence/chrome-zoom-200.png</t>
        </is>
      </c>
      <c r="L21" s="104" t="n">
        <v>4.27</v>
      </c>
    </row>
    <row r="22" ht="119" customHeight="1">
      <c r="B22" s="21" t="n"/>
      <c r="C22" s="65" t="n">
        <v>10</v>
      </c>
      <c r="D22" s="71" t="inlineStr">
        <is>
          <t>Page structure</t>
        </is>
      </c>
      <c r="E22" s="45" t="inlineStr">
        <is>
          <t>When JavaScript is turned off, do understandable error messages appear explaining that JavaScript must be enabled to display required content, without any scripts being displayed to on the screen?</t>
        </is>
      </c>
      <c r="F22" s="106" t="inlineStr">
        <is>
          <t>Pass</t>
        </is>
      </c>
      <c r="G22" s="102" t="inlineStr">
        <is>
          <t>With JavaScript off the page shows: "Learning Journey Assistant
Please enable JavaScript in your browser to use this" (This failed in my first test run - see DEF-01. After the fix I retested it and it passed.)</t>
        </is>
      </c>
      <c r="H22" s="102" t="inlineStr">
        <is>
          <t>DEF-01</t>
        </is>
      </c>
      <c r="I22" s="105" t="inlineStr">
        <is>
          <t>Minor</t>
        </is>
      </c>
      <c r="J22" s="105" t="inlineStr">
        <is>
          <t>With JavaScript disabled the app shows a blank white page and no message. Expected: a message like "Please enable JavaScript to use this app" (e.g. a &lt;noscript&gt; tag in layout.tsx). Fixed: added a message telling users to turn on JavaScript. Retested 05/10/2026: Pass.</t>
        </is>
      </c>
      <c r="K22" s="102" t="inlineStr">
        <is>
          <t>After fix: Compatibility Testing Evidence/chrome-javascript-off.png
Before fix: Compatibility Testing Evidence/first-run/chrome-javascript-off.png</t>
        </is>
      </c>
      <c r="L22" s="104" t="n">
        <v>1.79</v>
      </c>
    </row>
    <row r="23" ht="101.95" customHeight="1">
      <c r="B23" s="21" t="n"/>
      <c r="C23" s="65" t="n">
        <v>11</v>
      </c>
      <c r="D23" s="54" t="inlineStr">
        <is>
          <t>Images</t>
        </is>
      </c>
      <c r="E23" s="45" t="inlineStr">
        <is>
          <t>Are images displayed correctly, including: 
- Position on the page (alignment, not overlapping fields, content or edge of screen)
- Rendering 
- Resolution
- Background (e.g. transparent)
- Lazy loading (load on scroll)
- No distortion (i.e. correct aspect ratio)
- No broken links</t>
        </is>
      </c>
      <c r="F23" s="106" t="inlineStr">
        <is>
          <t>Not applicable</t>
        </is>
      </c>
      <c r="G23" s="102" t="inlineStr">
        <is>
          <t>Our pages don't have any images. The logo is just the letters "LJ" in a purple box (made with text, not an image).</t>
        </is>
      </c>
      <c r="H23" s="102" t="n"/>
      <c r="I23" s="105" t="n"/>
      <c r="J23" s="105" t="n"/>
      <c r="K23" s="102" t="n"/>
      <c r="L23" s="104" t="n"/>
    </row>
    <row r="24" ht="28" customHeight="1">
      <c r="B24" s="21" t="n"/>
      <c r="C24" s="65" t="n">
        <v>12</v>
      </c>
      <c r="D24" s="54" t="inlineStr">
        <is>
          <t>Images</t>
        </is>
      </c>
      <c r="E24" s="45" t="inlineStr">
        <is>
          <t>Are images suitable for the given content and context?</t>
        </is>
      </c>
      <c r="F24" s="106" t="inlineStr">
        <is>
          <t>Not applicable</t>
        </is>
      </c>
      <c r="G24" s="102" t="inlineStr">
        <is>
          <t>No images on the login page or dashboard.</t>
        </is>
      </c>
      <c r="H24" s="102" t="n"/>
      <c r="I24" s="105" t="n"/>
      <c r="J24" s="105" t="n"/>
      <c r="K24" s="102" t="n"/>
      <c r="L24" s="104" t="n"/>
    </row>
    <row r="25" ht="28" customHeight="1">
      <c r="B25" s="21" t="n"/>
      <c r="C25" s="65" t="n">
        <v>13</v>
      </c>
      <c r="D25" s="54" t="inlineStr">
        <is>
          <t>Images</t>
        </is>
      </c>
      <c r="E25" s="45" t="inlineStr">
        <is>
          <t xml:space="preserve">Do images include suitable alternative text? </t>
        </is>
      </c>
      <c r="F25" s="106" t="inlineStr">
        <is>
          <t>Not applicable</t>
        </is>
      </c>
      <c r="G25" s="102" t="inlineStr">
        <is>
          <t>No images, so there is no alt text to check.</t>
        </is>
      </c>
      <c r="H25" s="102" t="n"/>
      <c r="I25" s="105" t="n"/>
      <c r="J25" s="105" t="n"/>
      <c r="K25" s="102" t="n"/>
      <c r="L25" s="104" t="n"/>
    </row>
    <row r="26" ht="28" customHeight="1">
      <c r="B26" s="21" t="n"/>
      <c r="C26" s="65" t="n">
        <v>14</v>
      </c>
      <c r="D26" s="54" t="inlineStr">
        <is>
          <t>Images</t>
        </is>
      </c>
      <c r="E26" s="45" t="inlineStr">
        <is>
          <t>Do clickable images navigate to the correct location?</t>
        </is>
      </c>
      <c r="F26" s="106" t="inlineStr">
        <is>
          <t>Not applicable</t>
        </is>
      </c>
      <c r="G26" s="102" t="inlineStr">
        <is>
          <t>No clickable images in the app.</t>
        </is>
      </c>
      <c r="H26" s="102" t="n"/>
      <c r="I26" s="105" t="n"/>
      <c r="J26" s="105" t="n"/>
      <c r="K26" s="102" t="n"/>
      <c r="L26" s="104" t="n"/>
    </row>
    <row r="27" ht="41" customHeight="1">
      <c r="B27" s="21" t="n"/>
      <c r="C27" s="65" t="n">
        <v>15</v>
      </c>
      <c r="D27" s="54" t="inlineStr">
        <is>
          <t>Images</t>
        </is>
      </c>
      <c r="E27" s="45" t="inlineStr">
        <is>
          <t xml:space="preserve">Do images display correctly when screen is zoomed in and out? </t>
        </is>
      </c>
      <c r="F27" s="106" t="inlineStr">
        <is>
          <t>Not applicable</t>
        </is>
      </c>
      <c r="G27" s="102" t="inlineStr">
        <is>
          <t>No images. (Zoom for the rest of the page was checked in test 9.)</t>
        </is>
      </c>
      <c r="H27" s="102" t="n"/>
      <c r="I27" s="105" t="n"/>
      <c r="J27" s="105" t="n"/>
      <c r="K27" s="102" t="n"/>
      <c r="L27" s="104" t="n"/>
    </row>
    <row r="28" ht="28" customHeight="1">
      <c r="B28" s="21" t="n"/>
      <c r="C28" s="65" t="n">
        <v>16</v>
      </c>
      <c r="D28" s="54" t="inlineStr">
        <is>
          <t>Images</t>
        </is>
      </c>
      <c r="E28" s="45" t="inlineStr">
        <is>
          <t>Do animated behaviours display correctly (e.g. Giff)</t>
        </is>
      </c>
      <c r="F28" s="106" t="inlineStr">
        <is>
          <t>Not applicable</t>
        </is>
      </c>
      <c r="G28" s="102" t="inlineStr">
        <is>
          <t>No GIFs or animations in the app.</t>
        </is>
      </c>
      <c r="H28" s="102" t="n"/>
      <c r="I28" s="105" t="n"/>
      <c r="J28" s="105" t="n"/>
      <c r="K28" s="102" t="n"/>
      <c r="L28" s="104" t="n"/>
    </row>
    <row r="29" ht="28" customHeight="1">
      <c r="B29" s="21" t="n"/>
      <c r="C29" s="65" t="n">
        <v>17</v>
      </c>
      <c r="D29" s="72" t="inlineStr">
        <is>
          <t>Videos</t>
        </is>
      </c>
      <c r="E29" s="45" t="inlineStr">
        <is>
          <t xml:space="preserve">Are videos displayed, positioned and rendered correctly on the page, with the correct thumbnails? </t>
        </is>
      </c>
      <c r="F29" s="106" t="inlineStr">
        <is>
          <t>Not applicable</t>
        </is>
      </c>
      <c r="G29" s="102" t="inlineStr">
        <is>
          <t>The app doesn't have any videos.</t>
        </is>
      </c>
      <c r="H29" s="102" t="n"/>
      <c r="I29" s="105" t="n"/>
      <c r="J29" s="105" t="n"/>
      <c r="K29" s="102" t="n"/>
      <c r="L29" s="104" t="n"/>
    </row>
    <row r="30" ht="63.7" customHeight="1">
      <c r="B30" s="21" t="n"/>
      <c r="C30" s="65" t="n">
        <v>18</v>
      </c>
      <c r="D30" s="72" t="inlineStr">
        <is>
          <t>Videos</t>
        </is>
      </c>
      <c r="E30" s="45" t="inlineStr">
        <is>
          <t>Do videos play correctly, including (where required):
- Auto play
- Click to play 
- Tap to play
- Picture in picture (PiP)</t>
        </is>
      </c>
      <c r="F30" s="106" t="inlineStr">
        <is>
          <t>Not applicable</t>
        </is>
      </c>
      <c r="G30" s="102" t="inlineStr">
        <is>
          <t>The app doesn't have any videos.</t>
        </is>
      </c>
      <c r="H30" s="102" t="n"/>
      <c r="I30" s="105" t="n"/>
      <c r="J30" s="105" t="n"/>
      <c r="K30" s="102" t="n"/>
      <c r="L30" s="104" t="n"/>
    </row>
    <row r="31" ht="28" customHeight="1">
      <c r="B31" s="21" t="n"/>
      <c r="C31" s="65" t="n">
        <v>19</v>
      </c>
      <c r="D31" s="72" t="inlineStr">
        <is>
          <t>Videos</t>
        </is>
      </c>
      <c r="E31" s="45" t="inlineStr">
        <is>
          <t>Do videos display with the correct defaults (e.g. auto-play, display inline or full screen)</t>
        </is>
      </c>
      <c r="F31" s="106" t="inlineStr">
        <is>
          <t>Not applicable</t>
        </is>
      </c>
      <c r="G31" s="102" t="inlineStr">
        <is>
          <t>The app doesn't have any videos.</t>
        </is>
      </c>
      <c r="H31" s="102" t="n"/>
      <c r="I31" s="105" t="n"/>
      <c r="J31" s="105" t="n"/>
      <c r="K31" s="102" t="n"/>
      <c r="L31" s="104" t="n"/>
    </row>
    <row r="32" ht="50.95" customHeight="1">
      <c r="B32" s="21" t="n"/>
      <c r="C32" s="65" t="n">
        <v>20</v>
      </c>
      <c r="D32" s="72" t="inlineStr">
        <is>
          <t>Videos</t>
        </is>
      </c>
      <c r="E32" s="45" t="inlineStr">
        <is>
          <t>Do all videos display suitable captions, including:
- Captions that match the video content
- Language preferences
- Location on screen</t>
        </is>
      </c>
      <c r="F32" s="106" t="inlineStr">
        <is>
          <t>Not applicable</t>
        </is>
      </c>
      <c r="G32" s="102" t="inlineStr">
        <is>
          <t>The app doesn't have any videos.</t>
        </is>
      </c>
      <c r="H32" s="102" t="n"/>
      <c r="I32" s="105" t="n"/>
      <c r="J32" s="105" t="n"/>
      <c r="K32" s="102" t="n"/>
      <c r="L32" s="104" t="n"/>
    </row>
    <row r="33" ht="50.95" customHeight="1">
      <c r="B33" s="21" t="n"/>
      <c r="C33" s="65" t="n">
        <v>21</v>
      </c>
      <c r="D33" s="72" t="inlineStr">
        <is>
          <t>Videos</t>
        </is>
      </c>
      <c r="E33" s="45" t="inlineStr">
        <is>
          <t>Can videos be moved to:
- Full screen mode 
- Embedded/inline mode
- Press escape from full-screen mode to revert back to inline mode</t>
        </is>
      </c>
      <c r="F33" s="106" t="inlineStr">
        <is>
          <t>Not applicable</t>
        </is>
      </c>
      <c r="G33" s="102" t="inlineStr">
        <is>
          <t>The app doesn't have any videos.</t>
        </is>
      </c>
      <c r="H33" s="102" t="n"/>
      <c r="I33" s="105" t="n"/>
      <c r="J33" s="105" t="n"/>
      <c r="K33" s="102" t="n"/>
      <c r="L33" s="104" t="n"/>
    </row>
    <row r="34" ht="114.65" customHeight="1">
      <c r="B34" s="21" t="n"/>
      <c r="C34" s="65" t="n">
        <v>22</v>
      </c>
      <c r="D34" s="72" t="inlineStr">
        <is>
          <t>Videos</t>
        </is>
      </c>
      <c r="E34" s="45" t="inlineStr">
        <is>
          <t>Do video controls work, including: 
- Play, pause, stop
- Fast forward and rewind (including skip X seconds forward/back)
- Volume 
- Mute/unmute 
- Playback speed (e.g. 0.5x, 1.5x, 2x)
- Resume from last position 
- Download / long-press
- Streaming vs. offline view</t>
        </is>
      </c>
      <c r="F34" s="106" t="inlineStr">
        <is>
          <t>Not applicable</t>
        </is>
      </c>
      <c r="G34" s="102" t="inlineStr">
        <is>
          <t>The app doesn't have any videos.</t>
        </is>
      </c>
      <c r="H34" s="102" t="n"/>
      <c r="I34" s="105" t="n"/>
      <c r="J34" s="105" t="n"/>
      <c r="K34" s="102" t="n"/>
      <c r="L34" s="104" t="n"/>
    </row>
    <row r="35" ht="80" customHeight="1">
      <c r="B35" s="21" t="n"/>
      <c r="C35" s="65" t="n">
        <v>23</v>
      </c>
      <c r="D35" s="51" t="inlineStr">
        <is>
          <t>Forms</t>
        </is>
      </c>
      <c r="E35" s="41" t="inlineStr">
        <is>
          <t xml:space="preserve">Are all required fields visible on the form? </t>
        </is>
      </c>
      <c r="F35" s="106" t="inlineStr">
        <is>
          <t>Pass</t>
        </is>
      </c>
      <c r="G35" s="102" t="inlineStr">
        <is>
          <t>The login form shows both fields I need (Student dropdown and Password) and the Sign in button. All visible without scrolling.</t>
        </is>
      </c>
      <c r="H35" s="102" t="n"/>
      <c r="I35" s="105" t="n"/>
      <c r="J35" s="105" t="n"/>
      <c r="K35" s="102" t="inlineStr">
        <is>
          <t>Compatibility Testing Evidence/chrome-login.png</t>
        </is>
      </c>
      <c r="L35" s="104" t="n">
        <v>0.96</v>
      </c>
    </row>
    <row r="36" ht="178.35" customHeight="1">
      <c r="B36" s="21" t="n"/>
      <c r="C36" s="65" t="n">
        <v>24</v>
      </c>
      <c r="D36" s="52" t="inlineStr">
        <is>
          <t>Forms</t>
        </is>
      </c>
      <c r="E36" s="49" t="inlineStr">
        <is>
          <t>Are all form fields positioned within the boundaries of the form, and not overlapping or truncating, including:
- Labels
- Single line textboxes
- Multi-line textboxes
- Dropdown lists
- Radio buttons
- Checkboxes 
- Date pickers
- Tables 
- Grids 
- Menus and submenus 
- Images
- Drag and drop</t>
        </is>
      </c>
      <c r="F36" s="106" t="inlineStr">
        <is>
          <t>Pass</t>
        </is>
      </c>
      <c r="G36" s="102" t="inlineStr">
        <is>
          <t>Labels, the dropdown, the password box and the button all sit inside the white form box. Nothing overlaps or gets cut off.</t>
        </is>
      </c>
      <c r="H36" s="102" t="n"/>
      <c r="I36" s="105" t="n"/>
      <c r="J36" s="105" t="n"/>
      <c r="K36" s="102" t="n"/>
      <c r="L36" s="104" t="n">
        <v>0.92</v>
      </c>
    </row>
    <row r="37" ht="127.4" customHeight="1">
      <c r="B37" s="21" t="n"/>
      <c r="C37" s="65" t="n">
        <v>25</v>
      </c>
      <c r="D37" s="52" t="inlineStr">
        <is>
          <t>Forms</t>
        </is>
      </c>
      <c r="E37" s="49" t="inlineStr">
        <is>
          <t>Does tool tip text display correctly for each field, including:
- Single line textboxes
- Multi-line textboxes
- Dropdown lists
- Radio buttons
- Checkboxes 
- Date pickers
- Tables 
- Grids 
- Drag and drop</t>
        </is>
      </c>
      <c r="F37" s="106" t="inlineStr">
        <is>
          <t>Not applicable</t>
        </is>
      </c>
      <c r="G37" s="102" t="inlineStr">
        <is>
          <t>Our form fields don't have tooltips. Each field has a label above it instead ("Student", "Password").</t>
        </is>
      </c>
      <c r="H37" s="102" t="n"/>
      <c r="I37" s="105" t="n"/>
      <c r="J37" s="105" t="n"/>
      <c r="K37" s="102" t="n"/>
      <c r="L37" s="104" t="n"/>
    </row>
    <row r="38" ht="142.9" customHeight="1">
      <c r="B38" s="21" t="n"/>
      <c r="C38" s="65" t="n">
        <v>26</v>
      </c>
      <c r="D38" s="52" t="inlineStr">
        <is>
          <t>Forms</t>
        </is>
      </c>
      <c r="E38" s="49" t="inlineStr">
        <is>
          <t>Can data be input into each field correctly, including:
- Single line textboxes
- Multi-line textboxes
- Dropdown lists
- Radio buttons
- Checkboxes 
- Date pickers
- Tables 
- Grids 
- Drag and drop
- Copy/paste</t>
        </is>
      </c>
      <c r="F38" s="106" t="inlineStr">
        <is>
          <t>Pass</t>
        </is>
      </c>
      <c r="G38" s="102" t="inlineStr">
        <is>
          <t>Picked a student from the dropdown and typed letters, numbers and symbols in the password box. Both worked and the password showed as dots. (Didn't test copy/paste because browsers block copying out of password boxes.)</t>
        </is>
      </c>
      <c r="H38" s="102" t="n"/>
      <c r="I38" s="105" t="n"/>
      <c r="J38" s="105" t="n"/>
      <c r="K38" s="102" t="n"/>
      <c r="L38" s="104" t="n">
        <v>1</v>
      </c>
    </row>
    <row r="39" ht="106" customHeight="1">
      <c r="B39" s="21" t="n"/>
      <c r="C39" s="65" t="n">
        <v>27</v>
      </c>
      <c r="D39" s="52" t="inlineStr">
        <is>
          <t>Forms</t>
        </is>
      </c>
      <c r="E39" s="49" t="inlineStr">
        <is>
          <t xml:space="preserve">When invalid/negative data is input into a field: 
- Are understandable error messages displayed? 
- Are error messages displayed at the right time (e.g. when focus leaves the field, or on save)?
- Are error messages positioned in the correct location?
- Are error validation icons (e.g. ticks, crosses) displayed in the correct location, colour and format? </t>
        </is>
      </c>
      <c r="F39" s="106" t="inlineStr">
        <is>
          <t>Pass</t>
        </is>
      </c>
      <c r="G39" s="102" t="inlineStr">
        <is>
          <t>Empty password: the browser stopped me and said "Please fill out this field.". Wrong password: a red "Invalid credentials" message showed just above the Sign in button after I clicked it.</t>
        </is>
      </c>
      <c r="H39" s="102" t="n"/>
      <c r="I39" s="105" t="n"/>
      <c r="J39" s="105" t="n"/>
      <c r="K39" s="102" t="inlineStr">
        <is>
          <t>Compatibility Testing Evidence/chrome-invalid-login.png</t>
        </is>
      </c>
      <c r="L39" s="104" t="n">
        <v>2.83</v>
      </c>
    </row>
    <row r="40" ht="93" customHeight="1">
      <c r="B40" s="21" t="n"/>
      <c r="C40" s="65" t="n">
        <v>28</v>
      </c>
      <c r="D40" s="52" t="inlineStr">
        <is>
          <t>Forms</t>
        </is>
      </c>
      <c r="E40" s="49" t="inlineStr">
        <is>
          <t xml:space="preserve">When placeholder text is included in each form field, is the text: 
- Visible 
- Understandable
- Rendered in the correct colour (i.e. to differentiate from user inputs) </t>
        </is>
      </c>
      <c r="F40" s="106" t="inlineStr">
        <is>
          <t>Pass</t>
        </is>
      </c>
      <c r="G40" s="102" t="inlineStr">
        <is>
          <t>When the student list can't load, the Student box shows the placeholder "e.g. S001" in grey, so it looks different from real typed text. Easy to understand.</t>
        </is>
      </c>
      <c r="H40" s="102" t="n"/>
      <c r="I40" s="105" t="n"/>
      <c r="J40" s="105" t="n"/>
      <c r="K40" s="102" t="inlineStr">
        <is>
          <t>Compatibility Testing Evidence/chrome-placeholder.png</t>
        </is>
      </c>
      <c r="L40" s="104" t="n">
        <v>0.27</v>
      </c>
    </row>
    <row r="41" ht="80" customHeight="1">
      <c r="B41" s="21" t="n"/>
      <c r="C41" s="65" t="n">
        <v>29</v>
      </c>
      <c r="D41" s="52" t="inlineStr">
        <is>
          <t>Forms</t>
        </is>
      </c>
      <c r="E41" s="49" t="inlineStr">
        <is>
          <t>Do form fields auto-complete correctly, using data previously saved by the browser?</t>
        </is>
      </c>
      <c r="F41" s="106" t="inlineStr">
        <is>
          <t>Not run</t>
        </is>
      </c>
      <c r="G41" s="102" t="inlineStr">
        <is>
          <t>The password box is set up for autofill (autocomplete="current-password"), but the test browser has no saved passwords so I couldn't try it.</t>
        </is>
      </c>
      <c r="H41" s="102" t="n"/>
      <c r="I41" s="105" t="n"/>
      <c r="J41" s="105" t="n"/>
      <c r="K41" s="102" t="n"/>
      <c r="L41" s="104" t="n"/>
    </row>
    <row r="42" ht="184" customHeight="1">
      <c r="A42" s="21" t="n"/>
      <c r="B42" s="21" t="n"/>
      <c r="C42" s="65" t="n">
        <v>30</v>
      </c>
      <c r="D42" s="53" t="inlineStr">
        <is>
          <t>Forms</t>
        </is>
      </c>
      <c r="E42" s="45" t="inlineStr">
        <is>
          <t xml:space="preserve">When the user submits a form (e.g. by clicking Save, Submit or OK):
- Is a visual indicator displayed to indicate that the form is saving (e.g. spinning wheel or progress bar)?
- After the form is saved/submitted, does an appropriate success message appear?
- Is the success message in the correct location, format and colour? </t>
        </is>
      </c>
      <c r="F42" s="100" t="inlineStr">
        <is>
          <t>Pass</t>
        </is>
      </c>
      <c r="G42" s="102" t="inlineStr">
        <is>
          <t>Login form: the button changes to "Signing in…" while it works and then the dashboard opens with "Hi Chloe". "Generate my study plan" also shows "Generating..." and then my personalised study plan appears for each knowledge gap. (This failed in my first test run - see DEF-02. After the fix I retested it and it passed.)</t>
        </is>
      </c>
      <c r="H42" s="102" t="inlineStr">
        <is>
          <t>DEF-02</t>
        </is>
      </c>
      <c r="I42" s="105" t="inlineStr">
        <is>
          <t>Minor</t>
        </is>
      </c>
      <c r="J42" s="105" t="inlineStr">
        <is>
          <t>AI study plan can't be generated: the server returns an error because no GROQ_API_KEY is configured on Render. Same on every system. This is a configuration issue (missing setting), not a bug in the code. Fixed: GROQ_API_KEY added to the backend on Render. Retested 05/10/2026: Pass.</t>
        </is>
      </c>
      <c r="K42" s="102" t="inlineStr">
        <is>
          <t>After fix: Compatibility Testing Evidence/chrome-ai-study-plan.png
Before fix: Compatibility Testing Evidence/first-run/chrome-ai-study-plan-error.png</t>
        </is>
      </c>
      <c r="L42" s="104" t="n">
        <v>7.66</v>
      </c>
    </row>
    <row r="43" ht="119" customFormat="1" customHeight="1" s="5">
      <c r="A43" s="28" t="n"/>
      <c r="B43" s="21" t="n"/>
      <c r="C43" s="65" t="n">
        <v>31</v>
      </c>
      <c r="D43" s="73" t="inlineStr">
        <is>
          <t>Interactions</t>
        </is>
      </c>
      <c r="E43" s="45" t="inlineStr">
        <is>
          <t>Do mouse inputs work correctly, including:
- Hover over (e.g. display tool tip text)
- Right mouse button click 
- Left mouse button click 
- Scroll wheel 
- Programmable mouse buttons
- Any other mouse buttons</t>
        </is>
      </c>
      <c r="F43" s="100" t="inlineStr">
        <is>
          <t>Pass</t>
        </is>
      </c>
      <c r="G43" s="102" t="inlineStr">
        <is>
          <t>Hovering over the Sign in button makes it lighter. Left click works on all buttons. The scroll wheel scrolls the dashboard. Right click opens the normal browser menu. (No tooltips in our app.)</t>
        </is>
      </c>
      <c r="H43" s="102" t="n"/>
      <c r="I43" s="77" t="n"/>
      <c r="J43" s="77" t="n"/>
      <c r="K43" s="102" t="n"/>
      <c r="L43" s="104" t="n">
        <v>4.66</v>
      </c>
      <c r="M43" s="28" t="n"/>
    </row>
    <row r="44" ht="106" customFormat="1" customHeight="1" s="5">
      <c r="A44" s="28" t="n"/>
      <c r="B44" s="21" t="n"/>
      <c r="C44" s="65" t="n">
        <v>32</v>
      </c>
      <c r="D44" s="73" t="inlineStr">
        <is>
          <t>Interactions</t>
        </is>
      </c>
      <c r="E44" s="45" t="inlineStr">
        <is>
          <t>Do keyboard inputs work correctly, including:
- Letters
- Numbers
- Symbols
- Function keys (F1 to F12)
- Control keys (e.g. escape, control, command (Apple Mac) alt, shift, tab, print screen, enter, shift lock, num lock, etc.)
- Navigation keys (arrow keys, home, end, page up, page down)</t>
        </is>
      </c>
      <c r="F44" s="100" t="inlineStr">
        <is>
          <t>Pass</t>
        </is>
      </c>
      <c r="G44" s="102" t="inlineStr">
        <is>
          <t>Tab moved from the dropdown to the password box. Letters, numbers and symbols typed fine, Backspace worked and Enter logged me in. Function keys aren't used by our app.</t>
        </is>
      </c>
      <c r="H44" s="102" t="n"/>
      <c r="I44" s="77" t="n"/>
      <c r="J44" s="77" t="n"/>
      <c r="K44" s="102" t="n"/>
      <c r="L44" s="104" t="n">
        <v>3.26</v>
      </c>
      <c r="M44" s="28" t="n"/>
    </row>
    <row r="45" ht="191.1" customFormat="1" customHeight="1" s="5">
      <c r="A45" s="28" t="n"/>
      <c r="B45" s="21" t="n"/>
      <c r="C45" s="65" t="n">
        <v>33</v>
      </c>
      <c r="D45" s="73" t="inlineStr">
        <is>
          <t>Interactions</t>
        </is>
      </c>
      <c r="E45" s="45" t="inlineStr">
        <is>
          <t>Do touchscreen and mobile inputs work correctly, including: 
- Tap
- Double tap
- Multi-touch
- Long press / tap-and-hold
- Swipe
- Scroll 
- Two-finger scroll
- Pinch (zoom in) and spread (zoom out)
- Rotate screen 
- Back navigation (e.g. back button or swipe)
- Forward navigation (e.g. swipe)
- System gestures (e.g. swipe up from bottom of screen)
- Stylus based input
- Voice input</t>
        </is>
      </c>
      <c r="F45" s="100" t="inlineStr">
        <is>
          <t>Not applicable</t>
        </is>
      </c>
      <c r="G45" s="102" t="inlineStr">
        <is>
          <t>This is a laptop without a touchscreen. Touch is tested on the iPhone and Android sheets.</t>
        </is>
      </c>
      <c r="H45" s="102" t="n"/>
      <c r="I45" s="77" t="n"/>
      <c r="J45" s="77" t="n"/>
      <c r="K45" s="102" t="n"/>
      <c r="L45" s="104" t="n"/>
      <c r="M45" s="28" t="n"/>
    </row>
    <row r="46" ht="101.95" customFormat="1" customHeight="1" s="5">
      <c r="A46" s="28" t="n"/>
      <c r="B46" s="21" t="n"/>
      <c r="C46" s="65" t="n">
        <v>34</v>
      </c>
      <c r="D46" s="73" t="inlineStr">
        <is>
          <t>Interactions</t>
        </is>
      </c>
      <c r="E46" s="45" t="inlineStr">
        <is>
          <t>Do smartwatch inputs work correctly, including: 
- Tap
- Swipe
- Long press (including on text, links, images and video)
- Button press
- Double button press
- Hard press 
- Voice input</t>
        </is>
      </c>
      <c r="F46" s="100" t="inlineStr">
        <is>
          <t>Not applicable</t>
        </is>
      </c>
      <c r="G46" s="102" t="inlineStr">
        <is>
          <t>Our app isn't made for smartwatches.</t>
        </is>
      </c>
      <c r="H46" s="102" t="n"/>
      <c r="I46" s="77" t="n"/>
      <c r="J46" s="77" t="n"/>
      <c r="K46" s="102" t="n"/>
      <c r="L46" s="104" t="n"/>
      <c r="M46" s="28" t="n"/>
    </row>
    <row r="47" ht="331.2" customFormat="1" customHeight="1" s="5">
      <c r="A47" s="28" t="n"/>
      <c r="B47" s="21" t="n"/>
      <c r="C47" s="65" t="n">
        <v>35</v>
      </c>
      <c r="D47" s="73" t="inlineStr">
        <is>
          <t>Interactions</t>
        </is>
      </c>
      <c r="E47" s="45" t="inlineStr">
        <is>
          <t>Do joystick inputs work correctly, including: 
- Buttons
       * Primary buttons (e.g. A, B, X, Y)
       * Select/confirm button (enter equivalent)
       * Cancel/back (escape equivalent)
       * Context actions (e.g. shortcuts)
       * Shoulder/trigger buttons (L1, L2, R1, R2)
       * Paging (scroll between sections)
       * Secondary actions (e.g. zoom, rotate)
       * Start button
       * Menu button 
- Directions  
        * Up, down, left, right, diagonal (navigating menus, moving focus)
        * Continuous hold vs. single press (scroll vs. step)
- Analog behaviour
       * Dead zone testing (ensuring slight nudges do not move focus unintentionally)
       * Sensitivity testing (slow vs. fast movements)
       * Left and right sticks 
       * Circular movement 
- Gestures &amp; special inputs - e.g. 
       * Long press buttons 
       * Double-tap buttons 
       * Combination presses (e.g. L1 + R1 = action A)
- System inputs 
       * Home/dashboard button (does app handle pausing/losing focus gracefully?)
       * Power button interactions (suspend, resume)</t>
        </is>
      </c>
      <c r="F47" s="100" t="inlineStr">
        <is>
          <t>Not applicable</t>
        </is>
      </c>
      <c r="G47" s="102" t="inlineStr">
        <is>
          <t>Our app isn't made for game controllers / joysticks.</t>
        </is>
      </c>
      <c r="H47" s="102" t="n"/>
      <c r="I47" s="77" t="n"/>
      <c r="J47" s="77" t="n"/>
      <c r="K47" s="102" t="n"/>
      <c r="L47" s="104" t="n"/>
      <c r="M47" s="28" t="n"/>
    </row>
    <row r="48" ht="28" customHeight="1">
      <c r="B48" s="21" t="n"/>
      <c r="C48" s="65" t="n">
        <v>36</v>
      </c>
      <c r="D48" s="64" t="inlineStr">
        <is>
          <t>File download</t>
        </is>
      </c>
      <c r="E48" s="41" t="inlineStr">
        <is>
          <t>Can files be downloaded correctly, including all supported file types, and for max file sizes?</t>
        </is>
      </c>
      <c r="F48" s="100" t="inlineStr">
        <is>
          <t>Not applicable</t>
        </is>
      </c>
      <c r="G48" s="102" t="inlineStr">
        <is>
          <t>The app doesn't have any file downloads.</t>
        </is>
      </c>
      <c r="H48" s="102" t="n"/>
      <c r="I48" s="105" t="n"/>
      <c r="J48" s="105" t="n"/>
      <c r="K48" s="102" t="n"/>
      <c r="L48" s="104" t="n"/>
    </row>
    <row r="49" ht="63.7" customHeight="1">
      <c r="B49" s="21" t="n"/>
      <c r="C49" s="65" t="n">
        <v>37</v>
      </c>
      <c r="D49" s="64" t="inlineStr">
        <is>
          <t>File download</t>
        </is>
      </c>
      <c r="E49" s="41" t="inlineStr">
        <is>
          <t>For each downloaded file: 
- Does the downloaded file open on the given device? 
- Are the file format, layout, fonts and styles correct?
- Is there no text overlapping or truncating?
- Are images displayed correctly?</t>
        </is>
      </c>
      <c r="F49" s="100" t="inlineStr">
        <is>
          <t>Not applicable</t>
        </is>
      </c>
      <c r="G49" s="102" t="inlineStr">
        <is>
          <t>The app doesn't have any file downloads.</t>
        </is>
      </c>
      <c r="H49" s="102" t="n"/>
      <c r="I49" s="105" t="n"/>
      <c r="J49" s="105" t="n"/>
      <c r="K49" s="102" t="n"/>
      <c r="L49" s="104" t="n"/>
    </row>
    <row r="50" ht="28" customFormat="1" customHeight="1" s="5">
      <c r="A50" s="28" t="n"/>
      <c r="B50" s="21" t="n"/>
      <c r="C50" s="65" t="n">
        <v>38</v>
      </c>
      <c r="D50" s="64" t="inlineStr">
        <is>
          <t>File download</t>
        </is>
      </c>
      <c r="E50" s="41" t="inlineStr">
        <is>
          <t>Is there a visual indicator displayed during the download process, so the user understands that a download is in progress (e.g. spinning wheel or progress bar)?</t>
        </is>
      </c>
      <c r="F50" s="100" t="inlineStr">
        <is>
          <t>Not applicable</t>
        </is>
      </c>
      <c r="G50" s="102" t="inlineStr">
        <is>
          <t>The app doesn't have any file downloads.</t>
        </is>
      </c>
      <c r="H50" s="102" t="n"/>
      <c r="I50" s="107" t="n"/>
      <c r="J50" s="77" t="n"/>
      <c r="K50" s="102" t="n"/>
      <c r="L50" s="104" t="n"/>
      <c r="M50" s="28" t="n"/>
    </row>
    <row r="51" ht="28" customFormat="1" customHeight="1" s="5">
      <c r="A51" s="28" t="n"/>
      <c r="B51" s="21" t="n"/>
      <c r="C51" s="65" t="n">
        <v>39</v>
      </c>
      <c r="D51" s="74" t="inlineStr">
        <is>
          <t>File upload</t>
        </is>
      </c>
      <c r="E51" s="41" t="inlineStr">
        <is>
          <t>Can files can uploaded successfully, across all supported file formats, including maximum file sizes?</t>
        </is>
      </c>
      <c r="F51" s="100" t="inlineStr">
        <is>
          <t>Not applicable</t>
        </is>
      </c>
      <c r="G51" s="102" t="inlineStr">
        <is>
          <t>The app doesn't have any file uploads.</t>
        </is>
      </c>
      <c r="H51" s="102" t="n"/>
      <c r="I51" s="107" t="n"/>
      <c r="J51" s="77" t="n"/>
      <c r="K51" s="102" t="n"/>
      <c r="L51" s="104" t="n"/>
      <c r="M51" s="28" t="n"/>
    </row>
    <row r="52" ht="28" customFormat="1" customHeight="1" s="5">
      <c r="A52" s="28" t="n"/>
      <c r="B52" s="21" t="n"/>
      <c r="C52" s="65" t="n">
        <v>40</v>
      </c>
      <c r="D52" s="74" t="inlineStr">
        <is>
          <t>File upload</t>
        </is>
      </c>
      <c r="E52" s="41" t="inlineStr">
        <is>
          <t>Is there a visual indicator displayed during the upload process, so the user understands that an upload is in progress (e.g. spinning wheel or progress bar)?</t>
        </is>
      </c>
      <c r="F52" s="100" t="inlineStr">
        <is>
          <t>Not applicable</t>
        </is>
      </c>
      <c r="G52" s="102" t="inlineStr">
        <is>
          <t>The app doesn't have any file uploads.</t>
        </is>
      </c>
      <c r="H52" s="102" t="n"/>
      <c r="I52" s="107" t="n"/>
      <c r="J52" s="77" t="n"/>
      <c r="K52" s="102" t="n"/>
      <c r="L52" s="104" t="n"/>
      <c r="M52" s="28" t="n"/>
    </row>
    <row r="53" ht="38.25" customFormat="1" customHeight="1" s="5">
      <c r="A53" s="28" t="n"/>
      <c r="B53" s="21" t="n"/>
      <c r="C53" s="65" t="n">
        <v>41</v>
      </c>
      <c r="D53" s="74" t="inlineStr">
        <is>
          <t>File upload</t>
        </is>
      </c>
      <c r="E53" s="41" t="inlineStr">
        <is>
          <t xml:space="preserve">Is a suitable error message displayed for:
- File sizes that are too big 
- Incorrect file formats? </t>
        </is>
      </c>
      <c r="F53" s="100" t="inlineStr">
        <is>
          <t>Not applicable</t>
        </is>
      </c>
      <c r="G53" s="102" t="inlineStr">
        <is>
          <t>The app doesn't have any file uploads.</t>
        </is>
      </c>
      <c r="H53" s="102" t="n"/>
      <c r="I53" s="107" t="n"/>
      <c r="J53" s="77" t="n"/>
      <c r="K53" s="102" t="n"/>
      <c r="L53" s="104" t="n"/>
      <c r="M53" s="28" t="n"/>
    </row>
    <row r="54" ht="132" customHeight="1">
      <c r="B54" s="21" t="n"/>
      <c r="C54" s="65" t="n">
        <v>42</v>
      </c>
      <c r="D54" s="63" t="inlineStr">
        <is>
          <t>Links and navigation</t>
        </is>
      </c>
      <c r="E54" s="45" t="inlineStr">
        <is>
          <t>Is the user able to:  
- Navigate to each field on the page
- Navigate to each link on the page 
- Activate each link on the page 
- Navigate to each menu option on the page 
- Activate each menu option on the page 
- Utilise fields on pop-up screens
- Navigate to next page and previous page 
- Navigate to home page 
- Navigate via voice input</t>
        </is>
      </c>
      <c r="F54" s="100" t="inlineStr">
        <is>
          <t>Pass</t>
        </is>
      </c>
      <c r="G54" s="102" t="inlineStr">
        <is>
          <t>I could move to every field and button (Student -&gt; Password -&gt; Sign in). After login, refreshing the page kept me logged in, and Sign out took me back to the login page. Our app is one page so there is no next/previous page.</t>
        </is>
      </c>
      <c r="H54" s="102" t="n"/>
      <c r="I54" s="105" t="n"/>
      <c r="J54" s="105" t="n"/>
      <c r="K54" s="102" t="n"/>
      <c r="L54" s="104" t="n">
        <v>5.02</v>
      </c>
    </row>
    <row r="55" ht="63.7" customHeight="1">
      <c r="B55" s="21" t="n"/>
      <c r="C55" s="65" t="n">
        <v>43</v>
      </c>
      <c r="D55" s="54" t="inlineStr">
        <is>
          <t>Links and navigation</t>
        </is>
      </c>
      <c r="E55" s="45" t="inlineStr">
        <is>
          <t>Do all hyperlinks function correctly, in terms of:
- Hover over (showing tool tip text)
- Left mouse click 
- Keyboard activate (tab to the link and hit enter)
- Long-press / tap-and-hold</t>
        </is>
      </c>
      <c r="F55" s="106" t="inlineStr">
        <is>
          <t>Not applicable</t>
        </is>
      </c>
      <c r="G55" s="102" t="inlineStr">
        <is>
          <t>There are no hyperlinks in our app, only buttons (checked in tests 31 and 42).</t>
        </is>
      </c>
      <c r="H55" s="102" t="n"/>
      <c r="I55" s="105" t="n"/>
      <c r="J55" s="105" t="n"/>
      <c r="K55" s="102" t="n"/>
      <c r="L55" s="104" t="n"/>
    </row>
    <row r="56" ht="93" customHeight="1">
      <c r="B56" s="21" t="n"/>
      <c r="C56" s="65" t="n">
        <v>44</v>
      </c>
      <c r="D56" s="54" t="inlineStr">
        <is>
          <t>Links and navigation</t>
        </is>
      </c>
      <c r="E56" s="45" t="inlineStr">
        <is>
          <t>Can the user navigate within the web page using the keyboard only, including: 
- Page up 
- Page down 
- Arrow keys 
- Tab / shift tab</t>
        </is>
      </c>
      <c r="F56" s="106" t="inlineStr">
        <is>
          <t>Pass</t>
        </is>
      </c>
      <c r="G56" s="102" t="inlineStr">
        <is>
          <t>On the dashboard, Page Down, Arrow Down and End moved the page down, and Page Up and Home moved it back up. Tab / Shift+Tab move between buttons.</t>
        </is>
      </c>
      <c r="H56" s="102" t="n"/>
      <c r="I56" s="105" t="n"/>
      <c r="J56" s="105" t="n"/>
      <c r="K56" s="102" t="n"/>
      <c r="L56" s="104" t="n">
        <v>5.34</v>
      </c>
    </row>
    <row r="57" ht="50.95" customHeight="1">
      <c r="B57" s="21" t="n"/>
      <c r="C57" s="65" t="n">
        <v>45</v>
      </c>
      <c r="D57" s="72" t="inlineStr">
        <is>
          <t>Haptic feedback</t>
        </is>
      </c>
      <c r="E57" s="45" t="inlineStr">
        <is>
          <t xml:space="preserve">For devices, does haptic feedback work correctly including for: 
- Links 
- Buttons 
- Input fields </t>
        </is>
      </c>
      <c r="F57" s="106" t="inlineStr">
        <is>
          <t>Not applicable</t>
        </is>
      </c>
      <c r="G57" s="102" t="inlineStr">
        <is>
          <t>Laptops don't have haptic feedback. Our app doesn't use vibration.</t>
        </is>
      </c>
      <c r="H57" s="102" t="n"/>
      <c r="I57" s="105" t="n"/>
      <c r="J57" s="105" t="n"/>
      <c r="K57" s="102" t="n"/>
      <c r="L57" s="104" t="n"/>
    </row>
    <row r="58" ht="38.25" customHeight="1">
      <c r="B58" s="21" t="n"/>
      <c r="C58" s="65" t="n">
        <v>46</v>
      </c>
      <c r="D58" s="54" t="inlineStr">
        <is>
          <t>Search field</t>
        </is>
      </c>
      <c r="E58" s="45" t="inlineStr">
        <is>
          <t xml:space="preserve">Is the search bar:
- Displayed in the correctly location? 
- Expand when clicked/in focus (if applicable)? </t>
        </is>
      </c>
      <c r="F58" s="106" t="inlineStr">
        <is>
          <t>Not applicable</t>
        </is>
      </c>
      <c r="G58" s="102" t="inlineStr">
        <is>
          <t>The app doesn't have a search bar.</t>
        </is>
      </c>
      <c r="H58" s="102" t="n"/>
      <c r="I58" s="105" t="n"/>
      <c r="J58" s="105" t="n"/>
      <c r="K58" s="102" t="n"/>
      <c r="L58" s="104" t="n"/>
    </row>
    <row r="59" ht="76.45" customHeight="1">
      <c r="A59" s="40" t="n"/>
      <c r="C59" s="65" t="n">
        <v>47</v>
      </c>
      <c r="D59" s="72" t="inlineStr">
        <is>
          <t xml:space="preserve">Printing </t>
        </is>
      </c>
      <c r="E59" s="49" t="inlineStr">
        <is>
          <t>Does print functionality work correctly including for: 
- Font style and size
- Page alignment 
- Page graphics 
- Page fits to the paper size 
- Print preview</t>
        </is>
      </c>
      <c r="F59" s="106" t="inlineStr">
        <is>
          <t>Pass</t>
        </is>
      </c>
      <c r="G59" s="102" t="inlineStr">
        <is>
          <t>Checked the print view at A4 size. Text, fonts and the mastery bars all fit on the page and nothing was cut off.</t>
        </is>
      </c>
      <c r="H59" s="102" t="n"/>
      <c r="I59" s="105" t="n"/>
      <c r="J59" s="105" t="n"/>
      <c r="K59" s="102" t="inlineStr">
        <is>
          <t>Compatibility Testing Evidence/chrome-print-preview.png</t>
        </is>
      </c>
      <c r="L59" s="104" t="n">
        <v>3.91</v>
      </c>
    </row>
    <row r="60">
      <c r="B60" s="21" t="n"/>
      <c r="C60" s="30" t="n"/>
      <c r="D60" s="30" t="n"/>
      <c r="E60" s="31" t="n"/>
      <c r="F60" s="32" t="n"/>
      <c r="G60" s="32" t="n"/>
      <c r="H60" s="32" t="n"/>
      <c r="I60" s="32" t="n"/>
      <c r="J60" s="32" t="n"/>
      <c r="K60" s="32" t="n"/>
      <c r="L60" s="24" t="n"/>
    </row>
    <row r="61">
      <c r="B61" s="21" t="n"/>
      <c r="C61" s="33" t="n"/>
      <c r="E61" s="34" t="n"/>
      <c r="F61" s="35" t="n"/>
      <c r="G61" s="35" t="n"/>
      <c r="H61" s="35" t="n"/>
      <c r="I61" s="35" t="n"/>
      <c r="J61" s="35" t="n"/>
      <c r="K61" s="35" t="n"/>
      <c r="L61" s="24" t="n"/>
    </row>
    <row r="62" ht="13.3" customHeight="1" thickBot="1">
      <c r="B62" s="36" t="n"/>
      <c r="C62" s="37" t="inlineStr">
        <is>
          <t xml:space="preserve">© Planit </t>
        </is>
      </c>
      <c r="D62" s="38" t="n"/>
      <c r="E62" s="38" t="n"/>
      <c r="F62" s="39" t="n"/>
      <c r="G62" s="39" t="n"/>
      <c r="H62" s="39" t="n"/>
      <c r="I62" s="39" t="n"/>
      <c r="J62" s="39" t="n"/>
      <c r="K62" s="39" t="n"/>
      <c r="L62" s="29" t="n"/>
    </row>
    <row r="63">
      <c r="G63" s="10" t="n"/>
      <c r="H63" s="10" t="n"/>
      <c r="K63" s="10" t="n"/>
    </row>
    <row r="64">
      <c r="C64" s="11" t="n"/>
      <c r="D64" s="108" t="inlineStr">
        <is>
          <t>Test Metrics</t>
        </is>
      </c>
      <c r="G64" s="10" t="n"/>
      <c r="H64" s="10" t="n"/>
      <c r="K64" s="10" t="n"/>
    </row>
    <row r="65">
      <c r="C65" s="13" t="n"/>
      <c r="D65" s="14" t="n"/>
      <c r="E65" s="109" t="inlineStr">
        <is>
          <t>Total checks in the checklist</t>
        </is>
      </c>
      <c r="F65" s="110">
        <f>COUNTA(C13:C59)</f>
        <v>47.0</v>
      </c>
      <c r="G65" s="10" t="n"/>
      <c r="H65" s="10" t="n"/>
      <c r="K65" s="10" t="n"/>
    </row>
    <row r="66">
      <c r="C66" s="13" t="n"/>
      <c r="D66" s="14" t="n"/>
      <c r="E66" s="109" t="inlineStr">
        <is>
          <t>Tests executed (Pass + Fail)</t>
        </is>
      </c>
      <c r="F66" s="110">
        <f>COUNTIF(F13:F59,"Pass")+COUNTIF(F13:F59,"Fail")</f>
        <v>21.0</v>
      </c>
    </row>
    <row r="67">
      <c r="C67" s="13" t="n"/>
      <c r="D67" s="14" t="n"/>
      <c r="E67" s="109" t="inlineStr">
        <is>
          <t>Passed</t>
        </is>
      </c>
      <c r="F67" s="110">
        <f>COUNTIF(F13:F59,"Pass")</f>
        <v>21.0</v>
      </c>
    </row>
    <row r="68">
      <c r="C68" s="11" t="n"/>
      <c r="D68" s="12" t="n"/>
      <c r="E68" s="109" t="inlineStr">
        <is>
          <t>Failed</t>
        </is>
      </c>
      <c r="F68" s="110">
        <f>COUNTIF(F13:F59,"Fail")</f>
        <v>0.0</v>
      </c>
    </row>
    <row r="69">
      <c r="C69" s="11" t="n"/>
      <c r="D69" s="12" t="n"/>
      <c r="E69" s="109" t="inlineStr">
        <is>
          <t>Not run</t>
        </is>
      </c>
      <c r="F69" s="110">
        <f>COUNTIF(F13:F59,"Not run")</f>
        <v>1.0</v>
      </c>
    </row>
    <row r="70">
      <c r="E70" s="109" t="inlineStr">
        <is>
          <t>Not applicable</t>
        </is>
      </c>
      <c r="F70" s="110">
        <f>COUNTIF(F13:F59,"Not applicable")</f>
        <v>25.0</v>
      </c>
    </row>
    <row r="71">
      <c r="E71" s="109" t="inlineStr">
        <is>
          <t>Total time taken to execute the tests (sec)</t>
        </is>
      </c>
      <c r="F71" s="111">
        <f>SUM(L13:L59)</f>
        <v>71.27</v>
      </c>
    </row>
    <row r="72">
      <c r="E72" s="109" t="inlineStr">
        <is>
          <t>Average time taken per test (sec)</t>
        </is>
      </c>
      <c r="F72" s="111">
        <f>IFERROR(F71/F66,0)</f>
        <v>3.393809523809524</v>
      </c>
    </row>
    <row r="73">
      <c r="E73" s="109" t="inlineStr">
        <is>
          <t>Pass rate</t>
        </is>
      </c>
      <c r="F73" s="112">
        <f>IFERROR(F67/F66,0)</f>
        <v>1.0</v>
      </c>
    </row>
    <row r="74">
      <c r="E74" s="109" t="inlineStr">
        <is>
          <t>Failure rate</t>
        </is>
      </c>
      <c r="F74" s="112">
        <f>IFERROR(F68/F66,0)</f>
        <v>0.0</v>
      </c>
    </row>
    <row r="75">
      <c r="E75" s="113" t="inlineStr">
        <is>
          <t>Pass rate = Passed ÷ Tests executed. "Not applicable" and "Not run" tests are not counted in the rates or the average.</t>
        </is>
      </c>
    </row>
  </sheetData>
  <conditionalFormatting sqref="F13:K59">
    <cfRule type="cellIs" priority="1" operator="equal" dxfId="5" stopIfTrue="1">
      <formula>RiskAccepted</formula>
    </cfRule>
    <cfRule type="cellIs" priority="2" operator="equal" dxfId="4" stopIfTrue="1">
      <formula>Conforming</formula>
    </cfRule>
    <cfRule type="cellIs" priority="3" operator="equal" dxfId="3" stopIfTrue="1">
      <formula>NotConforming</formula>
    </cfRule>
    <cfRule type="cellIs" priority="4" operator="equal" dxfId="2" stopIfTrue="1">
      <formula>OutOfScope</formula>
    </cfRule>
  </conditionalFormatting>
  <conditionalFormatting sqref="I13:J58">
    <cfRule type="colorScale" priority="71">
      <colorScale>
        <cfvo type="min"/>
        <cfvo type="max"/>
        <color rgb="FFFF7128"/>
        <color rgb="FFFFEF9C"/>
      </colorScale>
    </cfRule>
  </conditionalFormatting>
  <conditionalFormatting sqref="I59:J59">
    <cfRule type="colorScale" priority="7">
      <colorScale>
        <cfvo type="min"/>
        <cfvo type="max"/>
        <color rgb="FFFF7128"/>
        <color rgb="FFFFEF9C"/>
      </colorScale>
    </cfRule>
  </conditionalFormatting>
  <conditionalFormatting sqref="I13:K59">
    <cfRule type="cellIs" priority="31" operator="equal" dxfId="1">
      <formula>"Major"</formula>
    </cfRule>
    <cfRule type="cellIs" priority="32" operator="equal" dxfId="0">
      <formula>"Minor"</formula>
    </cfRule>
  </conditionalFormatting>
  <conditionalFormatting sqref="F13:F59">
    <cfRule type="cellIs" priority="9" operator="equal" dxfId="6">
      <formula>"Pass"</formula>
    </cfRule>
    <cfRule type="cellIs" priority="10" operator="equal" dxfId="7">
      <formula>"Fail"</formula>
    </cfRule>
  </conditionalFormatting>
  <dataValidations count="2">
    <dataValidation sqref="F13:F59" showDropDown="0" showInputMessage="0" showErrorMessage="0" allowBlank="1" type="list">
      <formula1>Status</formula1>
    </dataValidation>
    <dataValidation sqref="I13:I59" showDropDown="0" showInputMessage="0" showErrorMessage="0" allowBlank="1" type="list">
      <formula1>Variables!$D$2:$D$3</formula1>
    </dataValidation>
  </dataValidations>
  <pageMargins left="0.2362204724409449" right="0.2362204724409449" top="0.7480314960629921" bottom="0.7480314960629921" header="0.3149606299212598" footer="0.3149606299212598"/>
  <pageSetup orientation="landscape" paperSize="9"/>
  <drawing xmlns:r="http://schemas.openxmlformats.org/officeDocument/2006/relationships" r:id="rId1"/>
</worksheet>
</file>

<file path=xl/worksheets/sheet3.xml><?xml version="1.0" encoding="utf-8"?>
<worksheet xmlns="http://schemas.openxmlformats.org/spreadsheetml/2006/main">
  <sheetPr codeName="Sheet1">
    <tabColor theme="7" tint="0.3999755851924192"/>
    <outlinePr summaryBelow="1" summaryRight="1"/>
    <pageSetUpPr/>
  </sheetPr>
  <dimension ref="A2:M75"/>
  <sheetViews>
    <sheetView showGridLines="0" workbookViewId="0">
      <pane ySplit="12" topLeftCell="A13" activePane="bottomLeft" state="frozen"/>
      <selection pane="bottomLeft" activeCell="A1" sqref="A1"/>
    </sheetView>
  </sheetViews>
  <sheetFormatPr baseColWidth="8" defaultColWidth="9.09765625" defaultRowHeight="12.75" customHeight="1"/>
  <cols>
    <col width="2.8984375" customWidth="1" style="6" min="1" max="1"/>
    <col width="4.296875" customWidth="1" style="6" min="2" max="2"/>
    <col width="7.59765625" customWidth="1" style="7" min="3" max="3"/>
    <col width="21.8984375" customWidth="1" style="8" min="4" max="4"/>
    <col width="72" customWidth="1" style="9" min="5" max="5"/>
    <col width="14.59765625" bestFit="1" customWidth="1" style="6" min="6" max="6"/>
    <col width="24.59765625" customWidth="1" style="6" min="7" max="7"/>
    <col width="18.19921875" customWidth="1" style="6" min="8" max="8"/>
    <col width="19.3984375" bestFit="1" customWidth="1" style="6" min="9" max="9"/>
    <col width="19.3984375" customWidth="1" style="6" min="10" max="10"/>
    <col width="25" customWidth="1" style="6" min="11" max="11"/>
    <col width="16" customWidth="1" style="6" min="12" max="12"/>
    <col width="3.296875" customWidth="1" style="6" min="13" max="13"/>
    <col width="9.09765625" customWidth="1" style="3" min="14" max="16384"/>
  </cols>
  <sheetData>
    <row r="1" ht="13.3" customHeight="1" thickBot="1"/>
    <row r="2">
      <c r="B2" s="15" t="n"/>
      <c r="C2" s="16" t="n"/>
      <c r="D2" s="17" t="n"/>
      <c r="E2" s="18" t="n"/>
      <c r="F2" s="19" t="n"/>
      <c r="G2" s="19" t="n"/>
      <c r="H2" s="19" t="n"/>
      <c r="I2" s="19" t="n"/>
      <c r="J2" s="19" t="n"/>
      <c r="K2" s="19" t="n"/>
      <c r="L2" s="20" t="n"/>
    </row>
    <row r="3" ht="25.5" customHeight="1">
      <c r="B3" s="21" t="n"/>
      <c r="C3" s="22" t="inlineStr">
        <is>
          <t>Compatibility Testing Checklist</t>
        </is>
      </c>
      <c r="E3" s="23" t="n"/>
      <c r="F3" s="23" t="n"/>
      <c r="G3" s="23" t="n"/>
      <c r="H3" s="23" t="n"/>
      <c r="I3" s="23" t="n"/>
      <c r="J3" s="23" t="n"/>
      <c r="K3" s="23" t="n"/>
      <c r="L3" s="24" t="n"/>
    </row>
    <row r="4">
      <c r="B4" s="21" t="n"/>
      <c r="L4" s="24" t="n"/>
    </row>
    <row r="5">
      <c r="B5" s="21" t="n"/>
      <c r="C5" s="3" t="n"/>
      <c r="D5" s="55" t="inlineStr">
        <is>
          <t xml:space="preserve">Test object: </t>
        </is>
      </c>
      <c r="E5" s="98" t="inlineStr">
        <is>
          <t>Learning Journey Assistant (https://learning-journey-app.onrender.com)</t>
        </is>
      </c>
      <c r="F5" s="57" t="inlineStr">
        <is>
          <t xml:space="preserve">Name of the system being tested </t>
        </is>
      </c>
      <c r="L5" s="24" t="n"/>
    </row>
    <row r="6" ht="26" customHeight="1">
      <c r="B6" s="21" t="n"/>
      <c r="C6" s="3" t="n"/>
      <c r="D6" s="55" t="inlineStr">
        <is>
          <t>Test basis:</t>
        </is>
      </c>
      <c r="E6" s="98" t="inlineStr">
        <is>
          <t>User stories: a student logs in and views their mastery scores, knowledge gaps, feedback history and AI study plan. Also past experience with similar web apps.</t>
        </is>
      </c>
      <c r="F6" s="57" t="inlineStr">
        <is>
          <t>What test design is based on - for example, requirements, epics, user stories, or past experience with similar systems</t>
        </is>
      </c>
      <c r="L6" s="24" t="n"/>
    </row>
    <row r="7">
      <c r="B7" s="21" t="n"/>
      <c r="C7" s="3" t="n"/>
      <c r="D7" s="55" t="inlineStr">
        <is>
          <t>Page name:</t>
        </is>
      </c>
      <c r="E7" s="98" t="inlineStr">
        <is>
          <t>Login page and Student Dashboard</t>
        </is>
      </c>
      <c r="F7" s="57" t="inlineStr">
        <is>
          <t>Name of the page or tab being tested</t>
        </is>
      </c>
      <c r="L7" s="24" t="n"/>
    </row>
    <row r="8" ht="26" customHeight="1">
      <c r="B8" s="21" t="n"/>
      <c r="C8" s="3" t="n"/>
      <c r="D8" s="55" t="inlineStr">
        <is>
          <t>Environment details:</t>
        </is>
      </c>
      <c r="E8" s="98" t="inlineStr">
        <is>
          <t>MacBook, macOS 26.5.2, Mozilla Firefox 155.0 (Playwright build), screen 1440x900. Tests run with a Playwright automation script.</t>
        </is>
      </c>
      <c r="F8" s="57" t="inlineStr">
        <is>
          <t>Describe the test environment - e.g. Apple iPhone X running iOS Y, Edge browser version aa.bb</t>
        </is>
      </c>
      <c r="L8" s="24" t="n"/>
    </row>
    <row r="9">
      <c r="B9" s="21" t="n"/>
      <c r="C9" s="3" t="n"/>
      <c r="D9" s="55" t="inlineStr">
        <is>
          <t>Tester name:</t>
        </is>
      </c>
      <c r="E9" s="98" t="inlineStr">
        <is>
          <t>Ritik Rayamajhi</t>
        </is>
      </c>
      <c r="F9" s="57" t="inlineStr">
        <is>
          <t>Name of the person performing the testing</t>
        </is>
      </c>
      <c r="L9" s="24" t="n"/>
    </row>
    <row r="10">
      <c r="B10" s="21" t="n"/>
      <c r="C10" s="3" t="n"/>
      <c r="D10" s="55" t="inlineStr">
        <is>
          <t>Date tested:</t>
        </is>
      </c>
      <c r="E10" s="99" t="n">
        <v>46300</v>
      </c>
      <c r="F10" s="57" t="inlineStr">
        <is>
          <t>Date tests were run on</t>
        </is>
      </c>
      <c r="L10" s="24" t="n"/>
    </row>
    <row r="11">
      <c r="B11" s="21" t="n"/>
      <c r="L11" s="24" t="n"/>
    </row>
    <row r="12" ht="25.5" customFormat="1" customHeight="1" s="4">
      <c r="A12" s="26" t="n"/>
      <c r="B12" s="21" t="n"/>
      <c r="C12" s="66" t="inlineStr">
        <is>
          <t>ID</t>
        </is>
      </c>
      <c r="D12" s="67" t="inlineStr">
        <is>
          <t>Perspective</t>
        </is>
      </c>
      <c r="E12" s="68" t="inlineStr">
        <is>
          <t>Checklist</t>
        </is>
      </c>
      <c r="F12" s="68" t="inlineStr">
        <is>
          <t>Result</t>
        </is>
      </c>
      <c r="G12" s="69" t="inlineStr">
        <is>
          <t>Comments</t>
        </is>
      </c>
      <c r="H12" s="69" t="inlineStr">
        <is>
          <t>Defect ID</t>
        </is>
      </c>
      <c r="I12" s="70" t="inlineStr">
        <is>
          <t>Defect Severity</t>
        </is>
      </c>
      <c r="J12" s="70" t="inlineStr">
        <is>
          <t>Defect Details</t>
        </is>
      </c>
      <c r="K12" s="69" t="inlineStr">
        <is>
          <t>Test Evidence</t>
        </is>
      </c>
      <c r="L12" s="69" t="inlineStr">
        <is>
          <t>Time Taken (sec)</t>
        </is>
      </c>
      <c r="M12" s="26" t="n"/>
    </row>
    <row r="13" ht="67" customHeight="1">
      <c r="B13" s="21" t="n"/>
      <c r="C13" s="65" t="n">
        <v>1</v>
      </c>
      <c r="D13" s="71" t="inlineStr">
        <is>
          <t>Page structure</t>
        </is>
      </c>
      <c r="E13" s="41" t="inlineStr">
        <is>
          <t>Has the correct page template, style sheet and/or structure been used, matching company and project requirements?</t>
        </is>
      </c>
      <c r="F13" s="100" t="inlineStr">
        <is>
          <t>Pass</t>
        </is>
      </c>
      <c r="G13" s="101" t="inlineStr">
        <is>
          <t>Both pages (login and dashboard) use the same layout: logo at the top, white rounded cards on a light grey background.</t>
        </is>
      </c>
      <c r="H13" s="102" t="n"/>
      <c r="I13" s="103" t="n"/>
      <c r="J13" s="77" t="n"/>
      <c r="K13" s="102" t="inlineStr">
        <is>
          <t>Compatibility Testing Evidence/firefox-dashboard.png</t>
        </is>
      </c>
      <c r="L13" s="104" t="n">
        <v>4.4</v>
      </c>
    </row>
    <row r="14" ht="80" customHeight="1">
      <c r="B14" s="21" t="n"/>
      <c r="C14" s="65" t="n">
        <v>2</v>
      </c>
      <c r="D14" s="71" t="inlineStr">
        <is>
          <t>Page structure</t>
        </is>
      </c>
      <c r="E14" s="45" t="inlineStr">
        <is>
          <t xml:space="preserve">Do page colours and fonts match company branding? </t>
        </is>
      </c>
      <c r="F14" s="100" t="inlineStr">
        <is>
          <t>Pass</t>
        </is>
      </c>
      <c r="G14" s="102" t="inlineStr">
        <is>
          <t>We don't have an official brand guide, so I checked the purple colour is the same on all buttons and the logo on both pages. It matched.</t>
        </is>
      </c>
      <c r="H14" s="102" t="n"/>
      <c r="I14" s="105" t="n"/>
      <c r="J14" s="105" t="n"/>
      <c r="K14" s="102" t="n"/>
      <c r="L14" s="104" t="n">
        <v>3.66</v>
      </c>
    </row>
    <row r="15" ht="54" customHeight="1">
      <c r="B15" s="21" t="n"/>
      <c r="C15" s="65" t="n">
        <v>3</v>
      </c>
      <c r="D15" s="71" t="inlineStr">
        <is>
          <t>Page structure</t>
        </is>
      </c>
      <c r="E15" s="45" t="inlineStr">
        <is>
          <t>Does the page description (e.g. in the title bar or tab) correctly reflect the page content?</t>
        </is>
      </c>
      <c r="F15" s="100" t="inlineStr">
        <is>
          <t>Pass</t>
        </is>
      </c>
      <c r="G15" s="102" t="inlineStr">
        <is>
          <t>The tab title says "Learning Journey Assistant" on both pages, which matches the app name.</t>
        </is>
      </c>
      <c r="H15" s="102" t="n"/>
      <c r="I15" s="105" t="n"/>
      <c r="J15" s="105" t="n"/>
      <c r="K15" s="102" t="n"/>
      <c r="L15" s="104" t="n">
        <v>3.65</v>
      </c>
    </row>
    <row r="16" ht="119" customHeight="1">
      <c r="B16" s="21" t="n"/>
      <c r="C16" s="65" t="n">
        <v>4</v>
      </c>
      <c r="D16" s="71" t="inlineStr">
        <is>
          <t>Page structure</t>
        </is>
      </c>
      <c r="E16" s="45" t="inlineStr">
        <is>
          <t xml:space="preserve">Have correct and consistent fonts, text sizes and text positions been used, including: 
- Header 
- Menu bar 
- Body/content 
- Input and output fields
- Buttons (e.g. Next/Previous, Submit/Cancel etc.) 
- Footer </t>
        </is>
      </c>
      <c r="F16" s="100" t="inlineStr">
        <is>
          <t>Pass</t>
        </is>
      </c>
      <c r="G16" s="102" t="inlineStr">
        <is>
          <t>Header, body text, dropdown, password box and buttons all use the same font (Geist). Headings are bigger and bold, body text is smaller. Nothing overlapped. (No menu bar or footer in our app.)</t>
        </is>
      </c>
      <c r="H16" s="102" t="n"/>
      <c r="I16" s="105" t="n"/>
      <c r="J16" s="105" t="n"/>
      <c r="K16" s="102" t="n"/>
      <c r="L16" s="104" t="n">
        <v>3.74</v>
      </c>
    </row>
    <row r="17" ht="106" customHeight="1">
      <c r="B17" s="21" t="n"/>
      <c r="C17" s="65" t="n">
        <v>5</v>
      </c>
      <c r="D17" s="71" t="inlineStr">
        <is>
          <t>Page structure</t>
        </is>
      </c>
      <c r="E17" s="45" t="inlineStr">
        <is>
          <t>Does the page display correctly across different screen resolutions, including:
- High definition (HD) 
- Recommended display setting (on computer)
- Lowest display setting (on computer)
- Devices (e.g. mobile, tablet, watch)</t>
        </is>
      </c>
      <c r="F17" s="100" t="inlineStr">
        <is>
          <t>Pass</t>
        </is>
      </c>
      <c r="G17" s="102" t="inlineStr">
        <is>
          <t>Checked the dashboard at 1920x1080 (HD), 1440x900 (recommended on this Mac) and 1366x768 / 1024x768 (lowest). It looked fine at all of them. Phones are tested on the mobile sheets.</t>
        </is>
      </c>
      <c r="H17" s="102" t="n"/>
      <c r="I17" s="105" t="n"/>
      <c r="J17" s="105" t="n"/>
      <c r="K17" s="102" t="inlineStr">
        <is>
          <t>Compatibility Testing Evidence/firefox-resolution-small.png</t>
        </is>
      </c>
      <c r="L17" s="104" t="n">
        <v>4.23</v>
      </c>
    </row>
    <row r="18" ht="67" customHeight="1">
      <c r="B18" s="21" t="n"/>
      <c r="C18" s="65" t="n">
        <v>6</v>
      </c>
      <c r="D18" s="71" t="inlineStr">
        <is>
          <t>Page structure</t>
        </is>
      </c>
      <c r="E18" s="45" t="inlineStr">
        <is>
          <t>Does the page scroll smoothly without lagging?</t>
        </is>
      </c>
      <c r="F18" s="100" t="inlineStr">
        <is>
          <t>Pass</t>
        </is>
      </c>
      <c r="G18" s="102" t="inlineStr">
        <is>
          <t>Scrolled from the top to the bottom of the dashboard. It was smooth with no lag (about 123 frames per second).</t>
        </is>
      </c>
      <c r="H18" s="102" t="n"/>
      <c r="I18" s="105" t="n"/>
      <c r="J18" s="105" t="n"/>
      <c r="K18" s="102" t="n"/>
      <c r="L18" s="104" t="n">
        <v>4.31</v>
      </c>
    </row>
    <row r="19" ht="67" customHeight="1">
      <c r="B19" s="21" t="n"/>
      <c r="C19" s="65" t="n">
        <v>7</v>
      </c>
      <c r="D19" s="71" t="inlineStr">
        <is>
          <t>Page structure</t>
        </is>
      </c>
      <c r="E19" s="45" t="inlineStr">
        <is>
          <t>Is the page content viewable without the need for a horizontal scroll bar? (horizontal scrolling is generally not recommended/preferred)</t>
        </is>
      </c>
      <c r="F19" s="100" t="inlineStr">
        <is>
          <t>Pass</t>
        </is>
      </c>
      <c r="G19" s="102" t="inlineStr">
        <is>
          <t>No horizontal scroll bar on the login page or the dashboard. Everything fits the width of the screen.</t>
        </is>
      </c>
      <c r="H19" s="102" t="n"/>
      <c r="I19" s="105" t="n"/>
      <c r="J19" s="105" t="n"/>
      <c r="K19" s="102" t="n"/>
      <c r="L19" s="104" t="n">
        <v>4.28</v>
      </c>
    </row>
    <row r="20" ht="93" customHeight="1">
      <c r="B20" s="21" t="n"/>
      <c r="C20" s="65" t="n">
        <v>8</v>
      </c>
      <c r="D20" s="71" t="inlineStr">
        <is>
          <t>Page structure</t>
        </is>
      </c>
      <c r="E20" s="45" t="inlineStr">
        <is>
          <t>Do menus function correctly when opened, traversed and activated/clicked, including: 
- Hamburger menu
- Expandable menus
- Collapsible menus
- Drop down "more information" menus (usually available via an ellipsis …)</t>
        </is>
      </c>
      <c r="F20" s="106" t="inlineStr">
        <is>
          <t>Pass</t>
        </is>
      </c>
      <c r="G20" s="102" t="inlineStr">
        <is>
          <t>Our app has no hamburger or expandable menus. The only menu is the student dropdown on the login page - I picked all 5 students one by one and each one got selected.</t>
        </is>
      </c>
      <c r="H20" s="102" t="n"/>
      <c r="I20" s="105" t="n"/>
      <c r="J20" s="105" t="n"/>
      <c r="K20" s="102" t="n"/>
      <c r="L20" s="104" t="n">
        <v>0.97</v>
      </c>
    </row>
    <row r="21" ht="67" customHeight="1">
      <c r="B21" s="21" t="n"/>
      <c r="C21" s="65" t="n">
        <v>9</v>
      </c>
      <c r="D21" s="71" t="inlineStr">
        <is>
          <t>Page structure</t>
        </is>
      </c>
      <c r="E21" s="45" t="inlineStr">
        <is>
          <t>Does the page view correctly when using zoom in and out?</t>
        </is>
      </c>
      <c r="F21" s="106" t="inlineStr">
        <is>
          <t>Pass</t>
        </is>
      </c>
      <c r="G21" s="102" t="inlineStr">
        <is>
          <t>Zoomed in to 200% and out to 50%. The text and bars resized properly and nothing went off the screen.</t>
        </is>
      </c>
      <c r="H21" s="102" t="n"/>
      <c r="I21" s="105" t="n"/>
      <c r="J21" s="105" t="n"/>
      <c r="K21" s="102" t="inlineStr">
        <is>
          <t>Compatibility Testing Evidence/firefox-zoom-200.png</t>
        </is>
      </c>
      <c r="L21" s="104" t="n">
        <v>3.77</v>
      </c>
    </row>
    <row r="22" ht="119" customHeight="1">
      <c r="B22" s="21" t="n"/>
      <c r="C22" s="65" t="n">
        <v>10</v>
      </c>
      <c r="D22" s="71" t="inlineStr">
        <is>
          <t>Page structure</t>
        </is>
      </c>
      <c r="E22" s="45" t="inlineStr">
        <is>
          <t>When JavaScript is turned off, do understandable error messages appear explaining that JavaScript must be enabled to display required content, without any scripts being displayed to on the screen?</t>
        </is>
      </c>
      <c r="F22" s="106" t="inlineStr">
        <is>
          <t>Pass</t>
        </is>
      </c>
      <c r="G22" s="102" t="inlineStr">
        <is>
          <t>With JavaScript off the page shows: "Learning Journey Assistant
Please enable JavaScript in your browser to use this" (This failed in my first test run - see DEF-01. After the fix I retested it and it passed.)</t>
        </is>
      </c>
      <c r="H22" s="102" t="inlineStr">
        <is>
          <t>DEF-01</t>
        </is>
      </c>
      <c r="I22" s="105" t="inlineStr">
        <is>
          <t>Minor</t>
        </is>
      </c>
      <c r="J22" s="105" t="inlineStr">
        <is>
          <t>With JavaScript disabled the app shows a blank white page and no message. Expected: a message like "Please enable JavaScript to use this app" (e.g. a &lt;noscript&gt; tag in layout.tsx). Fixed: added a message telling users to turn on JavaScript. Retested 05/10/2026: Pass.</t>
        </is>
      </c>
      <c r="K22" s="102" t="inlineStr">
        <is>
          <t>After fix: Compatibility Testing Evidence/firefox-javascript-off.png
Before fix: Compatibility Testing Evidence/first-run/firefox-javascript-off.png</t>
        </is>
      </c>
      <c r="L22" s="104" t="n">
        <v>2.14</v>
      </c>
    </row>
    <row r="23" ht="101.95" customHeight="1">
      <c r="B23" s="21" t="n"/>
      <c r="C23" s="65" t="n">
        <v>11</v>
      </c>
      <c r="D23" s="54" t="inlineStr">
        <is>
          <t>Images</t>
        </is>
      </c>
      <c r="E23" s="45" t="inlineStr">
        <is>
          <t>Are images displayed correctly, including: 
- Position on the page (alignment, not overlapping fields, content or edge of screen)
- Rendering 
- Resolution
- Background (e.g. transparent)
- Lazy loading (load on scroll)
- No distortion (i.e. correct aspect ratio)
- No broken links</t>
        </is>
      </c>
      <c r="F23" s="106" t="inlineStr">
        <is>
          <t>Not applicable</t>
        </is>
      </c>
      <c r="G23" s="102" t="inlineStr">
        <is>
          <t>Our pages don't have any images. The logo is just the letters "LJ" in a purple box (made with text, not an image).</t>
        </is>
      </c>
      <c r="H23" s="102" t="n"/>
      <c r="I23" s="105" t="n"/>
      <c r="J23" s="105" t="n"/>
      <c r="K23" s="102" t="n"/>
      <c r="L23" s="104" t="n"/>
    </row>
    <row r="24" ht="28" customHeight="1">
      <c r="B24" s="21" t="n"/>
      <c r="C24" s="65" t="n">
        <v>12</v>
      </c>
      <c r="D24" s="54" t="inlineStr">
        <is>
          <t>Images</t>
        </is>
      </c>
      <c r="E24" s="45" t="inlineStr">
        <is>
          <t>Are images suitable for the given content and context?</t>
        </is>
      </c>
      <c r="F24" s="106" t="inlineStr">
        <is>
          <t>Not applicable</t>
        </is>
      </c>
      <c r="G24" s="102" t="inlineStr">
        <is>
          <t>No images on the login page or dashboard.</t>
        </is>
      </c>
      <c r="H24" s="102" t="n"/>
      <c r="I24" s="105" t="n"/>
      <c r="J24" s="105" t="n"/>
      <c r="K24" s="102" t="n"/>
      <c r="L24" s="104" t="n"/>
    </row>
    <row r="25" ht="28" customHeight="1">
      <c r="B25" s="21" t="n"/>
      <c r="C25" s="65" t="n">
        <v>13</v>
      </c>
      <c r="D25" s="54" t="inlineStr">
        <is>
          <t>Images</t>
        </is>
      </c>
      <c r="E25" s="45" t="inlineStr">
        <is>
          <t xml:space="preserve">Do images include suitable alternative text? </t>
        </is>
      </c>
      <c r="F25" s="106" t="inlineStr">
        <is>
          <t>Not applicable</t>
        </is>
      </c>
      <c r="G25" s="102" t="inlineStr">
        <is>
          <t>No images, so there is no alt text to check.</t>
        </is>
      </c>
      <c r="H25" s="102" t="n"/>
      <c r="I25" s="105" t="n"/>
      <c r="J25" s="105" t="n"/>
      <c r="K25" s="102" t="n"/>
      <c r="L25" s="104" t="n"/>
    </row>
    <row r="26" ht="28" customHeight="1">
      <c r="B26" s="21" t="n"/>
      <c r="C26" s="65" t="n">
        <v>14</v>
      </c>
      <c r="D26" s="54" t="inlineStr">
        <is>
          <t>Images</t>
        </is>
      </c>
      <c r="E26" s="45" t="inlineStr">
        <is>
          <t>Do clickable images navigate to the correct location?</t>
        </is>
      </c>
      <c r="F26" s="106" t="inlineStr">
        <is>
          <t>Not applicable</t>
        </is>
      </c>
      <c r="G26" s="102" t="inlineStr">
        <is>
          <t>No clickable images in the app.</t>
        </is>
      </c>
      <c r="H26" s="102" t="n"/>
      <c r="I26" s="105" t="n"/>
      <c r="J26" s="105" t="n"/>
      <c r="K26" s="102" t="n"/>
      <c r="L26" s="104" t="n"/>
    </row>
    <row r="27" ht="41" customHeight="1">
      <c r="B27" s="21" t="n"/>
      <c r="C27" s="65" t="n">
        <v>15</v>
      </c>
      <c r="D27" s="54" t="inlineStr">
        <is>
          <t>Images</t>
        </is>
      </c>
      <c r="E27" s="45" t="inlineStr">
        <is>
          <t xml:space="preserve">Do images display correctly when screen is zoomed in and out? </t>
        </is>
      </c>
      <c r="F27" s="106" t="inlineStr">
        <is>
          <t>Not applicable</t>
        </is>
      </c>
      <c r="G27" s="102" t="inlineStr">
        <is>
          <t>No images. (Zoom for the rest of the page was checked in test 9.)</t>
        </is>
      </c>
      <c r="H27" s="102" t="n"/>
      <c r="I27" s="105" t="n"/>
      <c r="J27" s="105" t="n"/>
      <c r="K27" s="102" t="n"/>
      <c r="L27" s="104" t="n"/>
    </row>
    <row r="28" ht="28" customHeight="1">
      <c r="B28" s="21" t="n"/>
      <c r="C28" s="65" t="n">
        <v>16</v>
      </c>
      <c r="D28" s="54" t="inlineStr">
        <is>
          <t>Images</t>
        </is>
      </c>
      <c r="E28" s="45" t="inlineStr">
        <is>
          <t>Do animated behaviours display correctly (e.g. Giff)</t>
        </is>
      </c>
      <c r="F28" s="106" t="inlineStr">
        <is>
          <t>Not applicable</t>
        </is>
      </c>
      <c r="G28" s="102" t="inlineStr">
        <is>
          <t>No GIFs or animations in the app.</t>
        </is>
      </c>
      <c r="H28" s="102" t="n"/>
      <c r="I28" s="105" t="n"/>
      <c r="J28" s="105" t="n"/>
      <c r="K28" s="102" t="n"/>
      <c r="L28" s="104" t="n"/>
    </row>
    <row r="29" ht="28" customHeight="1">
      <c r="B29" s="21" t="n"/>
      <c r="C29" s="65" t="n">
        <v>17</v>
      </c>
      <c r="D29" s="72" t="inlineStr">
        <is>
          <t>Videos</t>
        </is>
      </c>
      <c r="E29" s="45" t="inlineStr">
        <is>
          <t xml:space="preserve">Are videos displayed, positioned and rendered correctly on the page, with the correct thumbnails? </t>
        </is>
      </c>
      <c r="F29" s="106" t="inlineStr">
        <is>
          <t>Not applicable</t>
        </is>
      </c>
      <c r="G29" s="102" t="inlineStr">
        <is>
          <t>The app doesn't have any videos.</t>
        </is>
      </c>
      <c r="H29" s="102" t="n"/>
      <c r="I29" s="105" t="n"/>
      <c r="J29" s="105" t="n"/>
      <c r="K29" s="102" t="n"/>
      <c r="L29" s="104" t="n"/>
    </row>
    <row r="30" ht="63.7" customHeight="1">
      <c r="B30" s="21" t="n"/>
      <c r="C30" s="65" t="n">
        <v>18</v>
      </c>
      <c r="D30" s="72" t="inlineStr">
        <is>
          <t>Videos</t>
        </is>
      </c>
      <c r="E30" s="45" t="inlineStr">
        <is>
          <t>Do videos play correctly, including (where required):
- Auto play
- Click to play 
- Tap to play
- Picture in picture (PiP)</t>
        </is>
      </c>
      <c r="F30" s="106" t="inlineStr">
        <is>
          <t>Not applicable</t>
        </is>
      </c>
      <c r="G30" s="102" t="inlineStr">
        <is>
          <t>The app doesn't have any videos.</t>
        </is>
      </c>
      <c r="H30" s="102" t="n"/>
      <c r="I30" s="105" t="n"/>
      <c r="J30" s="105" t="n"/>
      <c r="K30" s="102" t="n"/>
      <c r="L30" s="104" t="n"/>
    </row>
    <row r="31" ht="28" customHeight="1">
      <c r="B31" s="21" t="n"/>
      <c r="C31" s="65" t="n">
        <v>19</v>
      </c>
      <c r="D31" s="72" t="inlineStr">
        <is>
          <t>Videos</t>
        </is>
      </c>
      <c r="E31" s="45" t="inlineStr">
        <is>
          <t>Do videos display with the correct defaults (e.g. auto-play, display inline or full screen)</t>
        </is>
      </c>
      <c r="F31" s="106" t="inlineStr">
        <is>
          <t>Not applicable</t>
        </is>
      </c>
      <c r="G31" s="102" t="inlineStr">
        <is>
          <t>The app doesn't have any videos.</t>
        </is>
      </c>
      <c r="H31" s="102" t="n"/>
      <c r="I31" s="105" t="n"/>
      <c r="J31" s="105" t="n"/>
      <c r="K31" s="102" t="n"/>
      <c r="L31" s="104" t="n"/>
    </row>
    <row r="32" ht="50.95" customHeight="1">
      <c r="B32" s="21" t="n"/>
      <c r="C32" s="65" t="n">
        <v>20</v>
      </c>
      <c r="D32" s="72" t="inlineStr">
        <is>
          <t>Videos</t>
        </is>
      </c>
      <c r="E32" s="45" t="inlineStr">
        <is>
          <t>Do all videos display suitable captions, including:
- Captions that match the video content
- Language preferences
- Location on screen</t>
        </is>
      </c>
      <c r="F32" s="106" t="inlineStr">
        <is>
          <t>Not applicable</t>
        </is>
      </c>
      <c r="G32" s="102" t="inlineStr">
        <is>
          <t>The app doesn't have any videos.</t>
        </is>
      </c>
      <c r="H32" s="102" t="n"/>
      <c r="I32" s="105" t="n"/>
      <c r="J32" s="105" t="n"/>
      <c r="K32" s="102" t="n"/>
      <c r="L32" s="104" t="n"/>
    </row>
    <row r="33" ht="50.95" customHeight="1">
      <c r="B33" s="21" t="n"/>
      <c r="C33" s="65" t="n">
        <v>21</v>
      </c>
      <c r="D33" s="72" t="inlineStr">
        <is>
          <t>Videos</t>
        </is>
      </c>
      <c r="E33" s="45" t="inlineStr">
        <is>
          <t>Can videos be moved to:
- Full screen mode 
- Embedded/inline mode
- Press escape from full-screen mode to revert back to inline mode</t>
        </is>
      </c>
      <c r="F33" s="106" t="inlineStr">
        <is>
          <t>Not applicable</t>
        </is>
      </c>
      <c r="G33" s="102" t="inlineStr">
        <is>
          <t>The app doesn't have any videos.</t>
        </is>
      </c>
      <c r="H33" s="102" t="n"/>
      <c r="I33" s="105" t="n"/>
      <c r="J33" s="105" t="n"/>
      <c r="K33" s="102" t="n"/>
      <c r="L33" s="104" t="n"/>
    </row>
    <row r="34" ht="114.65" customHeight="1">
      <c r="B34" s="21" t="n"/>
      <c r="C34" s="65" t="n">
        <v>22</v>
      </c>
      <c r="D34" s="72" t="inlineStr">
        <is>
          <t>Videos</t>
        </is>
      </c>
      <c r="E34" s="45" t="inlineStr">
        <is>
          <t>Do video controls work, including: 
- Play, pause, stop
- Fast forward and rewind (including skip X seconds forward/back)
- Volume 
- Mute/unmute 
- Playback speed (e.g. 0.5x, 1.5x, 2x)
- Resume from last position 
- Download / long-press
- Streaming vs. offline view</t>
        </is>
      </c>
      <c r="F34" s="106" t="inlineStr">
        <is>
          <t>Not applicable</t>
        </is>
      </c>
      <c r="G34" s="102" t="inlineStr">
        <is>
          <t>The app doesn't have any videos.</t>
        </is>
      </c>
      <c r="H34" s="102" t="n"/>
      <c r="I34" s="105" t="n"/>
      <c r="J34" s="105" t="n"/>
      <c r="K34" s="102" t="n"/>
      <c r="L34" s="104" t="n"/>
    </row>
    <row r="35" ht="80" customHeight="1">
      <c r="B35" s="21" t="n"/>
      <c r="C35" s="65" t="n">
        <v>23</v>
      </c>
      <c r="D35" s="51" t="inlineStr">
        <is>
          <t>Forms</t>
        </is>
      </c>
      <c r="E35" s="41" t="inlineStr">
        <is>
          <t xml:space="preserve">Are all required fields visible on the form? </t>
        </is>
      </c>
      <c r="F35" s="106" t="inlineStr">
        <is>
          <t>Pass</t>
        </is>
      </c>
      <c r="G35" s="102" t="inlineStr">
        <is>
          <t>The login form shows both fields I need (Student dropdown and Password) and the Sign in button. All visible without scrolling.</t>
        </is>
      </c>
      <c r="H35" s="102" t="n"/>
      <c r="I35" s="105" t="n"/>
      <c r="J35" s="105" t="n"/>
      <c r="K35" s="102" t="inlineStr">
        <is>
          <t>Compatibility Testing Evidence/firefox-login.png</t>
        </is>
      </c>
      <c r="L35" s="104" t="n">
        <v>1.05</v>
      </c>
    </row>
    <row r="36" ht="178.35" customHeight="1">
      <c r="B36" s="21" t="n"/>
      <c r="C36" s="65" t="n">
        <v>24</v>
      </c>
      <c r="D36" s="52" t="inlineStr">
        <is>
          <t>Forms</t>
        </is>
      </c>
      <c r="E36" s="49" t="inlineStr">
        <is>
          <t>Are all form fields positioned within the boundaries of the form, and not overlapping or truncating, including:
- Labels
- Single line textboxes
- Multi-line textboxes
- Dropdown lists
- Radio buttons
- Checkboxes 
- Date pickers
- Tables 
- Grids 
- Menus and submenus 
- Images
- Drag and drop</t>
        </is>
      </c>
      <c r="F36" s="106" t="inlineStr">
        <is>
          <t>Pass</t>
        </is>
      </c>
      <c r="G36" s="102" t="inlineStr">
        <is>
          <t>Labels, the dropdown, the password box and the button all sit inside the white form box. Nothing overlaps or gets cut off.</t>
        </is>
      </c>
      <c r="H36" s="102" t="n"/>
      <c r="I36" s="105" t="n"/>
      <c r="J36" s="105" t="n"/>
      <c r="K36" s="102" t="n"/>
      <c r="L36" s="104" t="n">
        <v>0.92</v>
      </c>
    </row>
    <row r="37" ht="127.4" customHeight="1">
      <c r="B37" s="21" t="n"/>
      <c r="C37" s="65" t="n">
        <v>25</v>
      </c>
      <c r="D37" s="52" t="inlineStr">
        <is>
          <t>Forms</t>
        </is>
      </c>
      <c r="E37" s="49" t="inlineStr">
        <is>
          <t>Does tool tip text display correctly for each field, including:
- Single line textboxes
- Multi-line textboxes
- Dropdown lists
- Radio buttons
- Checkboxes 
- Date pickers
- Tables 
- Grids 
- Drag and drop</t>
        </is>
      </c>
      <c r="F37" s="106" t="inlineStr">
        <is>
          <t>Not applicable</t>
        </is>
      </c>
      <c r="G37" s="102" t="inlineStr">
        <is>
          <t>Our form fields don't have tooltips. Each field has a label above it instead ("Student", "Password").</t>
        </is>
      </c>
      <c r="H37" s="102" t="n"/>
      <c r="I37" s="105" t="n"/>
      <c r="J37" s="105" t="n"/>
      <c r="K37" s="102" t="n"/>
      <c r="L37" s="104" t="n"/>
    </row>
    <row r="38" ht="142.9" customHeight="1">
      <c r="B38" s="21" t="n"/>
      <c r="C38" s="65" t="n">
        <v>26</v>
      </c>
      <c r="D38" s="52" t="inlineStr">
        <is>
          <t>Forms</t>
        </is>
      </c>
      <c r="E38" s="49" t="inlineStr">
        <is>
          <t>Can data be input into each field correctly, including:
- Single line textboxes
- Multi-line textboxes
- Dropdown lists
- Radio buttons
- Checkboxes 
- Date pickers
- Tables 
- Grids 
- Drag and drop
- Copy/paste</t>
        </is>
      </c>
      <c r="F38" s="106" t="inlineStr">
        <is>
          <t>Pass</t>
        </is>
      </c>
      <c r="G38" s="102" t="inlineStr">
        <is>
          <t>Picked a student from the dropdown and typed letters, numbers and symbols in the password box. Both worked and the password showed as dots. (Didn't test copy/paste because browsers block copying out of password boxes.)</t>
        </is>
      </c>
      <c r="H38" s="102" t="n"/>
      <c r="I38" s="105" t="n"/>
      <c r="J38" s="105" t="n"/>
      <c r="K38" s="102" t="n"/>
      <c r="L38" s="104" t="n">
        <v>1.01</v>
      </c>
    </row>
    <row r="39" ht="106" customHeight="1">
      <c r="B39" s="21" t="n"/>
      <c r="C39" s="65" t="n">
        <v>27</v>
      </c>
      <c r="D39" s="52" t="inlineStr">
        <is>
          <t>Forms</t>
        </is>
      </c>
      <c r="E39" s="49" t="inlineStr">
        <is>
          <t xml:space="preserve">When invalid/negative data is input into a field: 
- Are understandable error messages displayed? 
- Are error messages displayed at the right time (e.g. when focus leaves the field, or on save)?
- Are error messages positioned in the correct location?
- Are error validation icons (e.g. ticks, crosses) displayed in the correct location, colour and format? </t>
        </is>
      </c>
      <c r="F39" s="106" t="inlineStr">
        <is>
          <t>Pass</t>
        </is>
      </c>
      <c r="G39" s="102" t="inlineStr">
        <is>
          <t>Empty password: the browser stopped me and said "Please fill out this field.". Wrong password: a red "Invalid credentials" message showed just above the Sign in button after I clicked it.</t>
        </is>
      </c>
      <c r="H39" s="102" t="n"/>
      <c r="I39" s="105" t="n"/>
      <c r="J39" s="105" t="n"/>
      <c r="K39" s="102" t="inlineStr">
        <is>
          <t>Compatibility Testing Evidence/firefox-invalid-login.png</t>
        </is>
      </c>
      <c r="L39" s="104" t="n">
        <v>2.38</v>
      </c>
    </row>
    <row r="40" ht="93" customHeight="1">
      <c r="B40" s="21" t="n"/>
      <c r="C40" s="65" t="n">
        <v>28</v>
      </c>
      <c r="D40" s="52" t="inlineStr">
        <is>
          <t>Forms</t>
        </is>
      </c>
      <c r="E40" s="49" t="inlineStr">
        <is>
          <t xml:space="preserve">When placeholder text is included in each form field, is the text: 
- Visible 
- Understandable
- Rendered in the correct colour (i.e. to differentiate from user inputs) </t>
        </is>
      </c>
      <c r="F40" s="106" t="inlineStr">
        <is>
          <t>Pass</t>
        </is>
      </c>
      <c r="G40" s="102" t="inlineStr">
        <is>
          <t>When the student list can't load, the Student box shows the placeholder "e.g. S001" in grey, so it looks different from real typed text. Easy to understand.</t>
        </is>
      </c>
      <c r="H40" s="102" t="n"/>
      <c r="I40" s="105" t="n"/>
      <c r="J40" s="105" t="n"/>
      <c r="K40" s="102" t="inlineStr">
        <is>
          <t>Compatibility Testing Evidence/firefox-placeholder.png</t>
        </is>
      </c>
      <c r="L40" s="104" t="n">
        <v>0.23</v>
      </c>
    </row>
    <row r="41" ht="80" customHeight="1">
      <c r="B41" s="21" t="n"/>
      <c r="C41" s="65" t="n">
        <v>29</v>
      </c>
      <c r="D41" s="52" t="inlineStr">
        <is>
          <t>Forms</t>
        </is>
      </c>
      <c r="E41" s="49" t="inlineStr">
        <is>
          <t>Do form fields auto-complete correctly, using data previously saved by the browser?</t>
        </is>
      </c>
      <c r="F41" s="106" t="inlineStr">
        <is>
          <t>Not run</t>
        </is>
      </c>
      <c r="G41" s="102" t="inlineStr">
        <is>
          <t>The password box is set up for autofill (autocomplete="current-password"), but the test browser has no saved passwords so I couldn't try it.</t>
        </is>
      </c>
      <c r="H41" s="102" t="n"/>
      <c r="I41" s="105" t="n"/>
      <c r="J41" s="105" t="n"/>
      <c r="K41" s="102" t="n"/>
      <c r="L41" s="104" t="n"/>
    </row>
    <row r="42" ht="184" customHeight="1">
      <c r="A42" s="21" t="n"/>
      <c r="B42" s="21" t="n"/>
      <c r="C42" s="65" t="n">
        <v>30</v>
      </c>
      <c r="D42" s="53" t="inlineStr">
        <is>
          <t>Forms</t>
        </is>
      </c>
      <c r="E42" s="45" t="inlineStr">
        <is>
          <t xml:space="preserve">When the user submits a form (e.g. by clicking Save, Submit or OK):
- Is a visual indicator displayed to indicate that the form is saving (e.g. spinning wheel or progress bar)?
- After the form is saved/submitted, does an appropriate success message appear?
- Is the success message in the correct location, format and colour? </t>
        </is>
      </c>
      <c r="F42" s="100" t="inlineStr">
        <is>
          <t>Pass</t>
        </is>
      </c>
      <c r="G42" s="102" t="inlineStr">
        <is>
          <t>Login form: the button changes to "Signing in…" while it works and then the dashboard opens with "Hi Chloe". "Generate my study plan" also shows "Generating..." and then my personalised study plan appears for each knowledge gap. (This failed in my first test run - see DEF-02. After the fix I retested it and it passed.)</t>
        </is>
      </c>
      <c r="H42" s="102" t="inlineStr">
        <is>
          <t>DEF-02</t>
        </is>
      </c>
      <c r="I42" s="105" t="inlineStr">
        <is>
          <t>Minor</t>
        </is>
      </c>
      <c r="J42" s="105" t="inlineStr">
        <is>
          <t>AI study plan can't be generated: the server returns an error because no GROQ_API_KEY is configured on Render. Same on every system. This is a configuration issue (missing setting), not a bug in the code. Fixed: GROQ_API_KEY added to the backend on Render. Retested 05/10/2026: Pass.</t>
        </is>
      </c>
      <c r="K42" s="102" t="inlineStr">
        <is>
          <t>After fix: Compatibility Testing Evidence/firefox-ai-study-plan.png
Before fix: Compatibility Testing Evidence/first-run/firefox-ai-study-plan-error.png</t>
        </is>
      </c>
      <c r="L42" s="104" t="n">
        <v>9.27</v>
      </c>
    </row>
    <row r="43" ht="119" customFormat="1" customHeight="1" s="5">
      <c r="A43" s="28" t="n"/>
      <c r="B43" s="21" t="n"/>
      <c r="C43" s="65" t="n">
        <v>31</v>
      </c>
      <c r="D43" s="73" t="inlineStr">
        <is>
          <t>Interactions</t>
        </is>
      </c>
      <c r="E43" s="45" t="inlineStr">
        <is>
          <t>Do mouse inputs work correctly, including:
- Hover over (e.g. display tool tip text)
- Right mouse button click 
- Left mouse button click 
- Scroll wheel 
- Programmable mouse buttons
- Any other mouse buttons</t>
        </is>
      </c>
      <c r="F43" s="100" t="inlineStr">
        <is>
          <t>Pass</t>
        </is>
      </c>
      <c r="G43" s="102" t="inlineStr">
        <is>
          <t>Hovering over the Sign in button makes it lighter. Left click works on all buttons. The scroll wheel scrolls the dashboard. Right click opens the normal browser menu. (No tooltips in our app.)</t>
        </is>
      </c>
      <c r="H43" s="102" t="n"/>
      <c r="I43" s="77" t="n"/>
      <c r="J43" s="77" t="n"/>
      <c r="K43" s="102" t="n"/>
      <c r="L43" s="104" t="n">
        <v>4.19</v>
      </c>
      <c r="M43" s="28" t="n"/>
    </row>
    <row r="44" ht="106" customFormat="1" customHeight="1" s="5">
      <c r="A44" s="28" t="n"/>
      <c r="B44" s="21" t="n"/>
      <c r="C44" s="65" t="n">
        <v>32</v>
      </c>
      <c r="D44" s="73" t="inlineStr">
        <is>
          <t>Interactions</t>
        </is>
      </c>
      <c r="E44" s="45" t="inlineStr">
        <is>
          <t>Do keyboard inputs work correctly, including:
- Letters
- Numbers
- Symbols
- Function keys (F1 to F12)
- Control keys (e.g. escape, control, command (Apple Mac) alt, shift, tab, print screen, enter, shift lock, num lock, etc.)
- Navigation keys (arrow keys, home, end, page up, page down)</t>
        </is>
      </c>
      <c r="F44" s="100" t="inlineStr">
        <is>
          <t>Pass</t>
        </is>
      </c>
      <c r="G44" s="102" t="inlineStr">
        <is>
          <t>Tab moved from the dropdown to the password box. Letters, numbers and symbols typed fine, Backspace worked and Enter logged me in. Function keys aren't used by our app.</t>
        </is>
      </c>
      <c r="H44" s="102" t="n"/>
      <c r="I44" s="77" t="n"/>
      <c r="J44" s="77" t="n"/>
      <c r="K44" s="102" t="n"/>
      <c r="L44" s="104" t="n">
        <v>3.28</v>
      </c>
      <c r="M44" s="28" t="n"/>
    </row>
    <row r="45" ht="191.1" customFormat="1" customHeight="1" s="5">
      <c r="A45" s="28" t="n"/>
      <c r="B45" s="21" t="n"/>
      <c r="C45" s="65" t="n">
        <v>33</v>
      </c>
      <c r="D45" s="73" t="inlineStr">
        <is>
          <t>Interactions</t>
        </is>
      </c>
      <c r="E45" s="45" t="inlineStr">
        <is>
          <t>Do touchscreen and mobile inputs work correctly, including: 
- Tap
- Double tap
- Multi-touch
- Long press / tap-and-hold
- Swipe
- Scroll 
- Two-finger scroll
- Pinch (zoom in) and spread (zoom out)
- Rotate screen 
- Back navigation (e.g. back button or swipe)
- Forward navigation (e.g. swipe)
- System gestures (e.g. swipe up from bottom of screen)
- Stylus based input
- Voice input</t>
        </is>
      </c>
      <c r="F45" s="100" t="inlineStr">
        <is>
          <t>Not applicable</t>
        </is>
      </c>
      <c r="G45" s="102" t="inlineStr">
        <is>
          <t>This is a laptop without a touchscreen. Touch is tested on the iPhone and Android sheets.</t>
        </is>
      </c>
      <c r="H45" s="102" t="n"/>
      <c r="I45" s="77" t="n"/>
      <c r="J45" s="77" t="n"/>
      <c r="K45" s="102" t="n"/>
      <c r="L45" s="104" t="n"/>
      <c r="M45" s="28" t="n"/>
    </row>
    <row r="46" ht="101.95" customFormat="1" customHeight="1" s="5">
      <c r="A46" s="28" t="n"/>
      <c r="B46" s="21" t="n"/>
      <c r="C46" s="65" t="n">
        <v>34</v>
      </c>
      <c r="D46" s="73" t="inlineStr">
        <is>
          <t>Interactions</t>
        </is>
      </c>
      <c r="E46" s="45" t="inlineStr">
        <is>
          <t>Do smartwatch inputs work correctly, including: 
- Tap
- Swipe
- Long press (including on text, links, images and video)
- Button press
- Double button press
- Hard press 
- Voice input</t>
        </is>
      </c>
      <c r="F46" s="100" t="inlineStr">
        <is>
          <t>Not applicable</t>
        </is>
      </c>
      <c r="G46" s="102" t="inlineStr">
        <is>
          <t>Our app isn't made for smartwatches.</t>
        </is>
      </c>
      <c r="H46" s="102" t="n"/>
      <c r="I46" s="77" t="n"/>
      <c r="J46" s="77" t="n"/>
      <c r="K46" s="102" t="n"/>
      <c r="L46" s="104" t="n"/>
      <c r="M46" s="28" t="n"/>
    </row>
    <row r="47" ht="331.2" customFormat="1" customHeight="1" s="5">
      <c r="A47" s="28" t="n"/>
      <c r="B47" s="21" t="n"/>
      <c r="C47" s="65" t="n">
        <v>35</v>
      </c>
      <c r="D47" s="73" t="inlineStr">
        <is>
          <t>Interactions</t>
        </is>
      </c>
      <c r="E47" s="45" t="inlineStr">
        <is>
          <t>Do joystick inputs work correctly, including: 
- Buttons
       * Primary buttons (e.g. A, B, X, Y)
       * Select/confirm button (enter equivalent)
       * Cancel/back (escape equivalent)
       * Context actions (e.g. shortcuts)
       * Shoulder/trigger buttons (L1, L2, R1, R2)
       * Paging (scroll between sections)
       * Secondary actions (e.g. zoom, rotate)
       * Start button
       * Menu button 
- Directions  
        * Up, down, left, right, diagonal (navigating menus, moving focus)
        * Continuous hold vs. single press (scroll vs. step)
- Analog behaviour
       * Dead zone testing (ensuring slight nudges do not move focus unintentionally)
       * Sensitivity testing (slow vs. fast movements)
       * Left and right sticks 
       * Circular movement 
- Gestures &amp; special inputs - e.g. 
       * Long press buttons 
       * Double-tap buttons 
       * Combination presses (e.g. L1 + R1 = action A)
- System inputs 
       * Home/dashboard button (does app handle pausing/losing focus gracefully?)
       * Power button interactions (suspend, resume)</t>
        </is>
      </c>
      <c r="F47" s="100" t="inlineStr">
        <is>
          <t>Not applicable</t>
        </is>
      </c>
      <c r="G47" s="102" t="inlineStr">
        <is>
          <t>Our app isn't made for game controllers / joysticks.</t>
        </is>
      </c>
      <c r="H47" s="102" t="n"/>
      <c r="I47" s="77" t="n"/>
      <c r="J47" s="77" t="n"/>
      <c r="K47" s="102" t="n"/>
      <c r="L47" s="104" t="n"/>
      <c r="M47" s="28" t="n"/>
    </row>
    <row r="48" ht="28" customHeight="1">
      <c r="B48" s="21" t="n"/>
      <c r="C48" s="65" t="n">
        <v>36</v>
      </c>
      <c r="D48" s="64" t="inlineStr">
        <is>
          <t>File download</t>
        </is>
      </c>
      <c r="E48" s="41" t="inlineStr">
        <is>
          <t>Can files be downloaded correctly, including all supported file types, and for max file sizes?</t>
        </is>
      </c>
      <c r="F48" s="100" t="inlineStr">
        <is>
          <t>Not applicable</t>
        </is>
      </c>
      <c r="G48" s="102" t="inlineStr">
        <is>
          <t>The app doesn't have any file downloads.</t>
        </is>
      </c>
      <c r="H48" s="102" t="n"/>
      <c r="I48" s="105" t="n"/>
      <c r="J48" s="105" t="n"/>
      <c r="K48" s="102" t="n"/>
      <c r="L48" s="104" t="n"/>
    </row>
    <row r="49" ht="63.7" customHeight="1">
      <c r="B49" s="21" t="n"/>
      <c r="C49" s="65" t="n">
        <v>37</v>
      </c>
      <c r="D49" s="64" t="inlineStr">
        <is>
          <t>File download</t>
        </is>
      </c>
      <c r="E49" s="41" t="inlineStr">
        <is>
          <t>For each downloaded file: 
- Does the downloaded file open on the given device? 
- Are the file format, layout, fonts and styles correct?
- Is there no text overlapping or truncating?
- Are images displayed correctly?</t>
        </is>
      </c>
      <c r="F49" s="100" t="inlineStr">
        <is>
          <t>Not applicable</t>
        </is>
      </c>
      <c r="G49" s="102" t="inlineStr">
        <is>
          <t>The app doesn't have any file downloads.</t>
        </is>
      </c>
      <c r="H49" s="102" t="n"/>
      <c r="I49" s="105" t="n"/>
      <c r="J49" s="105" t="n"/>
      <c r="K49" s="102" t="n"/>
      <c r="L49" s="104" t="n"/>
    </row>
    <row r="50" ht="28" customFormat="1" customHeight="1" s="5">
      <c r="A50" s="28" t="n"/>
      <c r="B50" s="21" t="n"/>
      <c r="C50" s="65" t="n">
        <v>38</v>
      </c>
      <c r="D50" s="64" t="inlineStr">
        <is>
          <t>File download</t>
        </is>
      </c>
      <c r="E50" s="41" t="inlineStr">
        <is>
          <t>Is there a visual indicator displayed during the download process, so the user understands that a download is in progress (e.g. spinning wheel or progress bar)?</t>
        </is>
      </c>
      <c r="F50" s="100" t="inlineStr">
        <is>
          <t>Not applicable</t>
        </is>
      </c>
      <c r="G50" s="102" t="inlineStr">
        <is>
          <t>The app doesn't have any file downloads.</t>
        </is>
      </c>
      <c r="H50" s="102" t="n"/>
      <c r="I50" s="107" t="n"/>
      <c r="J50" s="77" t="n"/>
      <c r="K50" s="102" t="n"/>
      <c r="L50" s="104" t="n"/>
      <c r="M50" s="28" t="n"/>
    </row>
    <row r="51" ht="28" customFormat="1" customHeight="1" s="5">
      <c r="A51" s="28" t="n"/>
      <c r="B51" s="21" t="n"/>
      <c r="C51" s="65" t="n">
        <v>39</v>
      </c>
      <c r="D51" s="74" t="inlineStr">
        <is>
          <t>File upload</t>
        </is>
      </c>
      <c r="E51" s="41" t="inlineStr">
        <is>
          <t>Can files can uploaded successfully, across all supported file formats, including maximum file sizes?</t>
        </is>
      </c>
      <c r="F51" s="100" t="inlineStr">
        <is>
          <t>Not applicable</t>
        </is>
      </c>
      <c r="G51" s="102" t="inlineStr">
        <is>
          <t>The app doesn't have any file uploads.</t>
        </is>
      </c>
      <c r="H51" s="102" t="n"/>
      <c r="I51" s="107" t="n"/>
      <c r="J51" s="77" t="n"/>
      <c r="K51" s="102" t="n"/>
      <c r="L51" s="104" t="n"/>
      <c r="M51" s="28" t="n"/>
    </row>
    <row r="52" ht="28" customFormat="1" customHeight="1" s="5">
      <c r="A52" s="28" t="n"/>
      <c r="B52" s="21" t="n"/>
      <c r="C52" s="65" t="n">
        <v>40</v>
      </c>
      <c r="D52" s="74" t="inlineStr">
        <is>
          <t>File upload</t>
        </is>
      </c>
      <c r="E52" s="41" t="inlineStr">
        <is>
          <t>Is there a visual indicator displayed during the upload process, so the user understands that an upload is in progress (e.g. spinning wheel or progress bar)?</t>
        </is>
      </c>
      <c r="F52" s="100" t="inlineStr">
        <is>
          <t>Not applicable</t>
        </is>
      </c>
      <c r="G52" s="102" t="inlineStr">
        <is>
          <t>The app doesn't have any file uploads.</t>
        </is>
      </c>
      <c r="H52" s="102" t="n"/>
      <c r="I52" s="107" t="n"/>
      <c r="J52" s="77" t="n"/>
      <c r="K52" s="102" t="n"/>
      <c r="L52" s="104" t="n"/>
      <c r="M52" s="28" t="n"/>
    </row>
    <row r="53" ht="38.25" customFormat="1" customHeight="1" s="5">
      <c r="A53" s="28" t="n"/>
      <c r="B53" s="21" t="n"/>
      <c r="C53" s="65" t="n">
        <v>41</v>
      </c>
      <c r="D53" s="74" t="inlineStr">
        <is>
          <t>File upload</t>
        </is>
      </c>
      <c r="E53" s="41" t="inlineStr">
        <is>
          <t xml:space="preserve">Is a suitable error message displayed for:
- File sizes that are too big 
- Incorrect file formats? </t>
        </is>
      </c>
      <c r="F53" s="100" t="inlineStr">
        <is>
          <t>Not applicable</t>
        </is>
      </c>
      <c r="G53" s="102" t="inlineStr">
        <is>
          <t>The app doesn't have any file uploads.</t>
        </is>
      </c>
      <c r="H53" s="102" t="n"/>
      <c r="I53" s="107" t="n"/>
      <c r="J53" s="77" t="n"/>
      <c r="K53" s="102" t="n"/>
      <c r="L53" s="104" t="n"/>
      <c r="M53" s="28" t="n"/>
    </row>
    <row r="54" ht="132" customHeight="1">
      <c r="B54" s="21" t="n"/>
      <c r="C54" s="65" t="n">
        <v>42</v>
      </c>
      <c r="D54" s="63" t="inlineStr">
        <is>
          <t>Links and navigation</t>
        </is>
      </c>
      <c r="E54" s="45" t="inlineStr">
        <is>
          <t>Is the user able to:  
- Navigate to each field on the page
- Navigate to each link on the page 
- Activate each link on the page 
- Navigate to each menu option on the page 
- Activate each menu option on the page 
- Utilise fields on pop-up screens
- Navigate to next page and previous page 
- Navigate to home page 
- Navigate via voice input</t>
        </is>
      </c>
      <c r="F54" s="100" t="inlineStr">
        <is>
          <t>Pass</t>
        </is>
      </c>
      <c r="G54" s="102" t="inlineStr">
        <is>
          <t>I could move to every field and button (Student -&gt; Password -&gt; Sign in). After login, refreshing the page kept me logged in, and Sign out took me back to the login page. Our app is one page so there is no next/previous page.</t>
        </is>
      </c>
      <c r="H54" s="102" t="n"/>
      <c r="I54" s="105" t="n"/>
      <c r="J54" s="105" t="n"/>
      <c r="K54" s="102" t="n"/>
      <c r="L54" s="104" t="n">
        <v>5.49</v>
      </c>
    </row>
    <row r="55" ht="63.7" customHeight="1">
      <c r="B55" s="21" t="n"/>
      <c r="C55" s="65" t="n">
        <v>43</v>
      </c>
      <c r="D55" s="54" t="inlineStr">
        <is>
          <t>Links and navigation</t>
        </is>
      </c>
      <c r="E55" s="45" t="inlineStr">
        <is>
          <t>Do all hyperlinks function correctly, in terms of:
- Hover over (showing tool tip text)
- Left mouse click 
- Keyboard activate (tab to the link and hit enter)
- Long-press / tap-and-hold</t>
        </is>
      </c>
      <c r="F55" s="106" t="inlineStr">
        <is>
          <t>Not applicable</t>
        </is>
      </c>
      <c r="G55" s="102" t="inlineStr">
        <is>
          <t>There are no hyperlinks in our app, only buttons (checked in tests 31 and 42).</t>
        </is>
      </c>
      <c r="H55" s="102" t="n"/>
      <c r="I55" s="105" t="n"/>
      <c r="J55" s="105" t="n"/>
      <c r="K55" s="102" t="n"/>
      <c r="L55" s="104" t="n"/>
    </row>
    <row r="56" ht="93" customHeight="1">
      <c r="B56" s="21" t="n"/>
      <c r="C56" s="65" t="n">
        <v>44</v>
      </c>
      <c r="D56" s="54" t="inlineStr">
        <is>
          <t>Links and navigation</t>
        </is>
      </c>
      <c r="E56" s="45" t="inlineStr">
        <is>
          <t>Can the user navigate within the web page using the keyboard only, including: 
- Page up 
- Page down 
- Arrow keys 
- Tab / shift tab</t>
        </is>
      </c>
      <c r="F56" s="106" t="inlineStr">
        <is>
          <t>Pass</t>
        </is>
      </c>
      <c r="G56" s="102" t="inlineStr">
        <is>
          <t>On the dashboard, Page Down, Arrow Down and End moved the page down, and Page Up and Home moved it back up. Tab / Shift+Tab move between buttons.</t>
        </is>
      </c>
      <c r="H56" s="102" t="n"/>
      <c r="I56" s="105" t="n"/>
      <c r="J56" s="105" t="n"/>
      <c r="K56" s="102" t="n"/>
      <c r="L56" s="104" t="n">
        <v>5.44</v>
      </c>
    </row>
    <row r="57" ht="50.95" customHeight="1">
      <c r="B57" s="21" t="n"/>
      <c r="C57" s="65" t="n">
        <v>45</v>
      </c>
      <c r="D57" s="72" t="inlineStr">
        <is>
          <t>Haptic feedback</t>
        </is>
      </c>
      <c r="E57" s="45" t="inlineStr">
        <is>
          <t xml:space="preserve">For devices, does haptic feedback work correctly including for: 
- Links 
- Buttons 
- Input fields </t>
        </is>
      </c>
      <c r="F57" s="106" t="inlineStr">
        <is>
          <t>Not applicable</t>
        </is>
      </c>
      <c r="G57" s="102" t="inlineStr">
        <is>
          <t>Laptops don't have haptic feedback. Our app doesn't use vibration.</t>
        </is>
      </c>
      <c r="H57" s="102" t="n"/>
      <c r="I57" s="105" t="n"/>
      <c r="J57" s="105" t="n"/>
      <c r="K57" s="102" t="n"/>
      <c r="L57" s="104" t="n"/>
    </row>
    <row r="58" ht="38.25" customHeight="1">
      <c r="B58" s="21" t="n"/>
      <c r="C58" s="65" t="n">
        <v>46</v>
      </c>
      <c r="D58" s="54" t="inlineStr">
        <is>
          <t>Search field</t>
        </is>
      </c>
      <c r="E58" s="45" t="inlineStr">
        <is>
          <t xml:space="preserve">Is the search bar:
- Displayed in the correctly location? 
- Expand when clicked/in focus (if applicable)? </t>
        </is>
      </c>
      <c r="F58" s="106" t="inlineStr">
        <is>
          <t>Not applicable</t>
        </is>
      </c>
      <c r="G58" s="102" t="inlineStr">
        <is>
          <t>The app doesn't have a search bar.</t>
        </is>
      </c>
      <c r="H58" s="102" t="n"/>
      <c r="I58" s="105" t="n"/>
      <c r="J58" s="105" t="n"/>
      <c r="K58" s="102" t="n"/>
      <c r="L58" s="104" t="n"/>
    </row>
    <row r="59" ht="76.45" customHeight="1">
      <c r="A59" s="40" t="n"/>
      <c r="C59" s="65" t="n">
        <v>47</v>
      </c>
      <c r="D59" s="72" t="inlineStr">
        <is>
          <t xml:space="preserve">Printing </t>
        </is>
      </c>
      <c r="E59" s="49" t="inlineStr">
        <is>
          <t>Does print functionality work correctly including for: 
- Font style and size
- Page alignment 
- Page graphics 
- Page fits to the paper size 
- Print preview</t>
        </is>
      </c>
      <c r="F59" s="106" t="inlineStr">
        <is>
          <t>Pass</t>
        </is>
      </c>
      <c r="G59" s="102" t="inlineStr">
        <is>
          <t>Checked the print view at A4 size. Text, fonts and the mastery bars all fit on the page and nothing was cut off.</t>
        </is>
      </c>
      <c r="H59" s="102" t="n"/>
      <c r="I59" s="105" t="n"/>
      <c r="J59" s="105" t="n"/>
      <c r="K59" s="102" t="inlineStr">
        <is>
          <t>Compatibility Testing Evidence/firefox-print-preview.png</t>
        </is>
      </c>
      <c r="L59" s="104" t="n">
        <v>4.17</v>
      </c>
    </row>
    <row r="60">
      <c r="B60" s="21" t="n"/>
      <c r="C60" s="30" t="n"/>
      <c r="D60" s="30" t="n"/>
      <c r="E60" s="31" t="n"/>
      <c r="F60" s="32" t="n"/>
      <c r="G60" s="32" t="n"/>
      <c r="H60" s="32" t="n"/>
      <c r="I60" s="32" t="n"/>
      <c r="J60" s="32" t="n"/>
      <c r="K60" s="32" t="n"/>
      <c r="L60" s="24" t="n"/>
    </row>
    <row r="61">
      <c r="B61" s="21" t="n"/>
      <c r="C61" s="33" t="n"/>
      <c r="E61" s="34" t="n"/>
      <c r="F61" s="35" t="n"/>
      <c r="G61" s="35" t="n"/>
      <c r="H61" s="35" t="n"/>
      <c r="I61" s="35" t="n"/>
      <c r="J61" s="35" t="n"/>
      <c r="K61" s="35" t="n"/>
      <c r="L61" s="24" t="n"/>
    </row>
    <row r="62" ht="13.3" customHeight="1" thickBot="1">
      <c r="B62" s="36" t="n"/>
      <c r="C62" s="37" t="inlineStr">
        <is>
          <t xml:space="preserve">© Planit </t>
        </is>
      </c>
      <c r="D62" s="38" t="n"/>
      <c r="E62" s="38" t="n"/>
      <c r="F62" s="39" t="n"/>
      <c r="G62" s="39" t="n"/>
      <c r="H62" s="39" t="n"/>
      <c r="I62" s="39" t="n"/>
      <c r="J62" s="39" t="n"/>
      <c r="K62" s="39" t="n"/>
      <c r="L62" s="29" t="n"/>
    </row>
    <row r="63">
      <c r="G63" s="10" t="n"/>
      <c r="H63" s="10" t="n"/>
      <c r="K63" s="10" t="n"/>
    </row>
    <row r="64">
      <c r="C64" s="11" t="n"/>
      <c r="D64" s="108" t="inlineStr">
        <is>
          <t>Test Metrics</t>
        </is>
      </c>
      <c r="G64" s="10" t="n"/>
      <c r="H64" s="10" t="n"/>
      <c r="K64" s="10" t="n"/>
    </row>
    <row r="65">
      <c r="C65" s="13" t="n"/>
      <c r="D65" s="14" t="n"/>
      <c r="E65" s="109" t="inlineStr">
        <is>
          <t>Total checks in the checklist</t>
        </is>
      </c>
      <c r="F65" s="110">
        <f>COUNTA(C13:C59)</f>
        <v>47.0</v>
      </c>
      <c r="G65" s="10" t="n"/>
      <c r="H65" s="10" t="n"/>
      <c r="K65" s="10" t="n"/>
    </row>
    <row r="66">
      <c r="C66" s="13" t="n"/>
      <c r="D66" s="14" t="n"/>
      <c r="E66" s="109" t="inlineStr">
        <is>
          <t>Tests executed (Pass + Fail)</t>
        </is>
      </c>
      <c r="F66" s="110">
        <f>COUNTIF(F13:F59,"Pass")+COUNTIF(F13:F59,"Fail")</f>
        <v>21.0</v>
      </c>
    </row>
    <row r="67">
      <c r="C67" s="13" t="n"/>
      <c r="D67" s="14" t="n"/>
      <c r="E67" s="109" t="inlineStr">
        <is>
          <t>Passed</t>
        </is>
      </c>
      <c r="F67" s="110">
        <f>COUNTIF(F13:F59,"Pass")</f>
        <v>21.0</v>
      </c>
    </row>
    <row r="68">
      <c r="C68" s="11" t="n"/>
      <c r="D68" s="12" t="n"/>
      <c r="E68" s="109" t="inlineStr">
        <is>
          <t>Failed</t>
        </is>
      </c>
      <c r="F68" s="110">
        <f>COUNTIF(F13:F59,"Fail")</f>
        <v>0.0</v>
      </c>
    </row>
    <row r="69">
      <c r="C69" s="11" t="n"/>
      <c r="D69" s="12" t="n"/>
      <c r="E69" s="109" t="inlineStr">
        <is>
          <t>Not run</t>
        </is>
      </c>
      <c r="F69" s="110">
        <f>COUNTIF(F13:F59,"Not run")</f>
        <v>1.0</v>
      </c>
    </row>
    <row r="70">
      <c r="E70" s="109" t="inlineStr">
        <is>
          <t>Not applicable</t>
        </is>
      </c>
      <c r="F70" s="110">
        <f>COUNTIF(F13:F59,"Not applicable")</f>
        <v>25.0</v>
      </c>
    </row>
    <row r="71">
      <c r="E71" s="109" t="inlineStr">
        <is>
          <t>Total time taken to execute the tests (sec)</t>
        </is>
      </c>
      <c r="F71" s="111">
        <f>SUM(L13:L59)</f>
        <v>72.58</v>
      </c>
    </row>
    <row r="72">
      <c r="E72" s="109" t="inlineStr">
        <is>
          <t>Average time taken per test (sec)</t>
        </is>
      </c>
      <c r="F72" s="111">
        <f>IFERROR(F71/F66,0)</f>
        <v>3.4561904761904763</v>
      </c>
    </row>
    <row r="73">
      <c r="E73" s="109" t="inlineStr">
        <is>
          <t>Pass rate</t>
        </is>
      </c>
      <c r="F73" s="112">
        <f>IFERROR(F67/F66,0)</f>
        <v>1.0</v>
      </c>
    </row>
    <row r="74">
      <c r="E74" s="109" t="inlineStr">
        <is>
          <t>Failure rate</t>
        </is>
      </c>
      <c r="F74" s="112">
        <f>IFERROR(F68/F66,0)</f>
        <v>0.0</v>
      </c>
    </row>
    <row r="75">
      <c r="E75" s="113" t="inlineStr">
        <is>
          <t>Pass rate = Passed ÷ Tests executed. "Not applicable" and "Not run" tests are not counted in the rates or the average.</t>
        </is>
      </c>
    </row>
  </sheetData>
  <conditionalFormatting sqref="F13:K59">
    <cfRule type="cellIs" priority="1" operator="equal" dxfId="5" stopIfTrue="1">
      <formula>RiskAccepted</formula>
    </cfRule>
    <cfRule type="cellIs" priority="2" operator="equal" dxfId="4" stopIfTrue="1">
      <formula>Conforming</formula>
    </cfRule>
    <cfRule type="cellIs" priority="3" operator="equal" dxfId="3" stopIfTrue="1">
      <formula>NotConforming</formula>
    </cfRule>
    <cfRule type="cellIs" priority="4" operator="equal" dxfId="2" stopIfTrue="1">
      <formula>OutOfScope</formula>
    </cfRule>
  </conditionalFormatting>
  <conditionalFormatting sqref="I13:J58">
    <cfRule type="colorScale" priority="71">
      <colorScale>
        <cfvo type="min"/>
        <cfvo type="max"/>
        <color rgb="FFFF7128"/>
        <color rgb="FFFFEF9C"/>
      </colorScale>
    </cfRule>
  </conditionalFormatting>
  <conditionalFormatting sqref="I59:J59">
    <cfRule type="colorScale" priority="7">
      <colorScale>
        <cfvo type="min"/>
        <cfvo type="max"/>
        <color rgb="FFFF7128"/>
        <color rgb="FFFFEF9C"/>
      </colorScale>
    </cfRule>
  </conditionalFormatting>
  <conditionalFormatting sqref="I13:K59">
    <cfRule type="cellIs" priority="31" operator="equal" dxfId="1">
      <formula>"Major"</formula>
    </cfRule>
    <cfRule type="cellIs" priority="32" operator="equal" dxfId="0">
      <formula>"Minor"</formula>
    </cfRule>
  </conditionalFormatting>
  <conditionalFormatting sqref="F13:F59">
    <cfRule type="cellIs" priority="9" operator="equal" dxfId="6">
      <formula>"Pass"</formula>
    </cfRule>
    <cfRule type="cellIs" priority="10" operator="equal" dxfId="7">
      <formula>"Fail"</formula>
    </cfRule>
  </conditionalFormatting>
  <dataValidations count="2">
    <dataValidation sqref="F13:F59" showDropDown="0" showInputMessage="0" showErrorMessage="0" allowBlank="1" type="list">
      <formula1>Status</formula1>
    </dataValidation>
    <dataValidation sqref="I13:I59" showDropDown="0" showInputMessage="0" showErrorMessage="0" allowBlank="1" type="list">
      <formula1>Variables!$D$2:$D$3</formula1>
    </dataValidation>
  </dataValidations>
  <pageMargins left="0.2362204724409449" right="0.2362204724409449" top="0.7480314960629921" bottom="0.7480314960629921" header="0.3149606299212598" footer="0.3149606299212598"/>
  <pageSetup orientation="landscape" paperSize="9"/>
  <drawing xmlns:r="http://schemas.openxmlformats.org/officeDocument/2006/relationships" r:id="rId1"/>
</worksheet>
</file>

<file path=xl/worksheets/sheet4.xml><?xml version="1.0" encoding="utf-8"?>
<worksheet xmlns="http://schemas.openxmlformats.org/spreadsheetml/2006/main">
  <sheetPr codeName="Sheet1">
    <tabColor theme="7" tint="0.3999755851924192"/>
    <outlinePr summaryBelow="1" summaryRight="1"/>
    <pageSetUpPr/>
  </sheetPr>
  <dimension ref="A2:M75"/>
  <sheetViews>
    <sheetView showGridLines="0" workbookViewId="0">
      <pane ySplit="12" topLeftCell="A13" activePane="bottomLeft" state="frozen"/>
      <selection pane="bottomLeft" activeCell="A1" sqref="A1"/>
    </sheetView>
  </sheetViews>
  <sheetFormatPr baseColWidth="8" defaultColWidth="9.09765625" defaultRowHeight="12.75" customHeight="1"/>
  <cols>
    <col width="2.8984375" customWidth="1" style="6" min="1" max="1"/>
    <col width="4.296875" customWidth="1" style="6" min="2" max="2"/>
    <col width="7.59765625" customWidth="1" style="7" min="3" max="3"/>
    <col width="21.8984375" customWidth="1" style="8" min="4" max="4"/>
    <col width="72" customWidth="1" style="9" min="5" max="5"/>
    <col width="14.59765625" bestFit="1" customWidth="1" style="6" min="6" max="6"/>
    <col width="24.59765625" customWidth="1" style="6" min="7" max="7"/>
    <col width="18.19921875" customWidth="1" style="6" min="8" max="8"/>
    <col width="19.3984375" bestFit="1" customWidth="1" style="6" min="9" max="9"/>
    <col width="19.3984375" customWidth="1" style="6" min="10" max="10"/>
    <col width="25" customWidth="1" style="6" min="11" max="11"/>
    <col width="16" customWidth="1" style="6" min="12" max="12"/>
    <col width="3.296875" customWidth="1" style="6" min="13" max="13"/>
    <col width="9.09765625" customWidth="1" style="3" min="14" max="16384"/>
  </cols>
  <sheetData>
    <row r="1" ht="13.3" customHeight="1" thickBot="1"/>
    <row r="2">
      <c r="B2" s="15" t="n"/>
      <c r="C2" s="16" t="n"/>
      <c r="D2" s="17" t="n"/>
      <c r="E2" s="18" t="n"/>
      <c r="F2" s="19" t="n"/>
      <c r="G2" s="19" t="n"/>
      <c r="H2" s="19" t="n"/>
      <c r="I2" s="19" t="n"/>
      <c r="J2" s="19" t="n"/>
      <c r="K2" s="19" t="n"/>
      <c r="L2" s="20" t="n"/>
    </row>
    <row r="3" ht="25.5" customHeight="1">
      <c r="B3" s="21" t="n"/>
      <c r="C3" s="22" t="inlineStr">
        <is>
          <t>Compatibility Testing Checklist</t>
        </is>
      </c>
      <c r="E3" s="23" t="n"/>
      <c r="F3" s="23" t="n"/>
      <c r="G3" s="23" t="n"/>
      <c r="H3" s="23" t="n"/>
      <c r="I3" s="23" t="n"/>
      <c r="J3" s="23" t="n"/>
      <c r="K3" s="23" t="n"/>
      <c r="L3" s="24" t="n"/>
    </row>
    <row r="4">
      <c r="B4" s="21" t="n"/>
      <c r="L4" s="24" t="n"/>
    </row>
    <row r="5">
      <c r="B5" s="21" t="n"/>
      <c r="C5" s="3" t="n"/>
      <c r="D5" s="55" t="inlineStr">
        <is>
          <t xml:space="preserve">Test object: </t>
        </is>
      </c>
      <c r="E5" s="98" t="inlineStr">
        <is>
          <t>Learning Journey Assistant (https://learning-journey-app.onrender.com)</t>
        </is>
      </c>
      <c r="F5" s="57" t="inlineStr">
        <is>
          <t xml:space="preserve">Name of the system being tested </t>
        </is>
      </c>
      <c r="L5" s="24" t="n"/>
    </row>
    <row r="6" ht="26" customHeight="1">
      <c r="B6" s="21" t="n"/>
      <c r="C6" s="3" t="n"/>
      <c r="D6" s="55" t="inlineStr">
        <is>
          <t>Test basis:</t>
        </is>
      </c>
      <c r="E6" s="98" t="inlineStr">
        <is>
          <t>User stories: a student logs in and views their mastery scores, knowledge gaps, feedback history and AI study plan. Also past experience with similar web apps.</t>
        </is>
      </c>
      <c r="F6" s="57" t="inlineStr">
        <is>
          <t>What test design is based on - for example, requirements, epics, user stories, or past experience with similar systems</t>
        </is>
      </c>
      <c r="L6" s="24" t="n"/>
    </row>
    <row r="7">
      <c r="B7" s="21" t="n"/>
      <c r="C7" s="3" t="n"/>
      <c r="D7" s="55" t="inlineStr">
        <is>
          <t>Page name:</t>
        </is>
      </c>
      <c r="E7" s="98" t="inlineStr">
        <is>
          <t>Login page and Student Dashboard</t>
        </is>
      </c>
      <c r="F7" s="57" t="inlineStr">
        <is>
          <t>Name of the page or tab being tested</t>
        </is>
      </c>
      <c r="L7" s="24" t="n"/>
    </row>
    <row r="8" ht="26" customHeight="1">
      <c r="B8" s="21" t="n"/>
      <c r="C8" s="3" t="n"/>
      <c r="D8" s="55" t="inlineStr">
        <is>
          <t>Environment details:</t>
        </is>
      </c>
      <c r="E8" s="98" t="inlineStr">
        <is>
          <t>MacBook, macOS 26.5.2, Safari engine WebKit 26.6 (Playwright build), screen 1440x900. Tests run with a Playwright automation script.</t>
        </is>
      </c>
      <c r="F8" s="57" t="inlineStr">
        <is>
          <t>Describe the test environment - e.g. Apple iPhone X running iOS Y, Edge browser version aa.bb</t>
        </is>
      </c>
      <c r="L8" s="24" t="n"/>
    </row>
    <row r="9">
      <c r="B9" s="21" t="n"/>
      <c r="C9" s="3" t="n"/>
      <c r="D9" s="55" t="inlineStr">
        <is>
          <t>Tester name:</t>
        </is>
      </c>
      <c r="E9" s="98" t="inlineStr">
        <is>
          <t>Ritik Rayamajhi</t>
        </is>
      </c>
      <c r="F9" s="57" t="inlineStr">
        <is>
          <t>Name of the person performing the testing</t>
        </is>
      </c>
      <c r="L9" s="24" t="n"/>
    </row>
    <row r="10">
      <c r="B10" s="21" t="n"/>
      <c r="C10" s="3" t="n"/>
      <c r="D10" s="55" t="inlineStr">
        <is>
          <t>Date tested:</t>
        </is>
      </c>
      <c r="E10" s="99" t="n">
        <v>46300</v>
      </c>
      <c r="F10" s="57" t="inlineStr">
        <is>
          <t>Date tests were run on</t>
        </is>
      </c>
      <c r="L10" s="24" t="n"/>
    </row>
    <row r="11">
      <c r="B11" s="21" t="n"/>
      <c r="L11" s="24" t="n"/>
    </row>
    <row r="12" ht="25.5" customFormat="1" customHeight="1" s="4">
      <c r="A12" s="26" t="n"/>
      <c r="B12" s="21" t="n"/>
      <c r="C12" s="66" t="inlineStr">
        <is>
          <t>ID</t>
        </is>
      </c>
      <c r="D12" s="67" t="inlineStr">
        <is>
          <t>Perspective</t>
        </is>
      </c>
      <c r="E12" s="68" t="inlineStr">
        <is>
          <t>Checklist</t>
        </is>
      </c>
      <c r="F12" s="68" t="inlineStr">
        <is>
          <t>Result</t>
        </is>
      </c>
      <c r="G12" s="69" t="inlineStr">
        <is>
          <t>Comments</t>
        </is>
      </c>
      <c r="H12" s="69" t="inlineStr">
        <is>
          <t>Defect ID</t>
        </is>
      </c>
      <c r="I12" s="70" t="inlineStr">
        <is>
          <t>Defect Severity</t>
        </is>
      </c>
      <c r="J12" s="70" t="inlineStr">
        <is>
          <t>Defect Details</t>
        </is>
      </c>
      <c r="K12" s="69" t="inlineStr">
        <is>
          <t>Test Evidence</t>
        </is>
      </c>
      <c r="L12" s="69" t="inlineStr">
        <is>
          <t>Time Taken (sec)</t>
        </is>
      </c>
      <c r="M12" s="26" t="n"/>
    </row>
    <row r="13" ht="67" customHeight="1">
      <c r="B13" s="21" t="n"/>
      <c r="C13" s="65" t="n">
        <v>1</v>
      </c>
      <c r="D13" s="71" t="inlineStr">
        <is>
          <t>Page structure</t>
        </is>
      </c>
      <c r="E13" s="41" t="inlineStr">
        <is>
          <t>Has the correct page template, style sheet and/or structure been used, matching company and project requirements?</t>
        </is>
      </c>
      <c r="F13" s="100" t="inlineStr">
        <is>
          <t>Pass</t>
        </is>
      </c>
      <c r="G13" s="101" t="inlineStr">
        <is>
          <t>Both pages (login and dashboard) use the same layout: logo at the top, white rounded cards on a light grey background.</t>
        </is>
      </c>
      <c r="H13" s="102" t="n"/>
      <c r="I13" s="103" t="n"/>
      <c r="J13" s="77" t="n"/>
      <c r="K13" s="102" t="inlineStr">
        <is>
          <t>Compatibility Testing Evidence/safari-dashboard.png</t>
        </is>
      </c>
      <c r="L13" s="104" t="n">
        <v>3.76</v>
      </c>
    </row>
    <row r="14" ht="80" customHeight="1">
      <c r="B14" s="21" t="n"/>
      <c r="C14" s="65" t="n">
        <v>2</v>
      </c>
      <c r="D14" s="71" t="inlineStr">
        <is>
          <t>Page structure</t>
        </is>
      </c>
      <c r="E14" s="45" t="inlineStr">
        <is>
          <t xml:space="preserve">Do page colours and fonts match company branding? </t>
        </is>
      </c>
      <c r="F14" s="100" t="inlineStr">
        <is>
          <t>Pass</t>
        </is>
      </c>
      <c r="G14" s="102" t="inlineStr">
        <is>
          <t>We don't have an official brand guide, so I checked the purple colour is the same on all buttons and the logo on both pages. It matched.</t>
        </is>
      </c>
      <c r="H14" s="102" t="n"/>
      <c r="I14" s="105" t="n"/>
      <c r="J14" s="105" t="n"/>
      <c r="K14" s="102" t="n"/>
      <c r="L14" s="104" t="n">
        <v>3.81</v>
      </c>
    </row>
    <row r="15" ht="54" customHeight="1">
      <c r="B15" s="21" t="n"/>
      <c r="C15" s="65" t="n">
        <v>3</v>
      </c>
      <c r="D15" s="71" t="inlineStr">
        <is>
          <t>Page structure</t>
        </is>
      </c>
      <c r="E15" s="45" t="inlineStr">
        <is>
          <t>Does the page description (e.g. in the title bar or tab) correctly reflect the page content?</t>
        </is>
      </c>
      <c r="F15" s="100" t="inlineStr">
        <is>
          <t>Pass</t>
        </is>
      </c>
      <c r="G15" s="102" t="inlineStr">
        <is>
          <t>The tab title says "Learning Journey Assistant" on both pages, which matches the app name.</t>
        </is>
      </c>
      <c r="H15" s="102" t="n"/>
      <c r="I15" s="105" t="n"/>
      <c r="J15" s="105" t="n"/>
      <c r="K15" s="102" t="n"/>
      <c r="L15" s="104" t="n">
        <v>3.63</v>
      </c>
    </row>
    <row r="16" ht="119" customHeight="1">
      <c r="B16" s="21" t="n"/>
      <c r="C16" s="65" t="n">
        <v>4</v>
      </c>
      <c r="D16" s="71" t="inlineStr">
        <is>
          <t>Page structure</t>
        </is>
      </c>
      <c r="E16" s="45" t="inlineStr">
        <is>
          <t xml:space="preserve">Have correct and consistent fonts, text sizes and text positions been used, including: 
- Header 
- Menu bar 
- Body/content 
- Input and output fields
- Buttons (e.g. Next/Previous, Submit/Cancel etc.) 
- Footer </t>
        </is>
      </c>
      <c r="F16" s="100" t="inlineStr">
        <is>
          <t>Pass</t>
        </is>
      </c>
      <c r="G16" s="102" t="inlineStr">
        <is>
          <t>Header, body text, dropdown, password box and buttons all use the same font (Geist). Headings are bigger and bold, body text is smaller. Nothing overlapped. (No menu bar or footer in our app.)</t>
        </is>
      </c>
      <c r="H16" s="102" t="n"/>
      <c r="I16" s="105" t="n"/>
      <c r="J16" s="105" t="n"/>
      <c r="K16" s="102" t="n"/>
      <c r="L16" s="104" t="n">
        <v>3.66</v>
      </c>
    </row>
    <row r="17" ht="106" customHeight="1">
      <c r="B17" s="21" t="n"/>
      <c r="C17" s="65" t="n">
        <v>5</v>
      </c>
      <c r="D17" s="71" t="inlineStr">
        <is>
          <t>Page structure</t>
        </is>
      </c>
      <c r="E17" s="45" t="inlineStr">
        <is>
          <t>Does the page display correctly across different screen resolutions, including:
- High definition (HD) 
- Recommended display setting (on computer)
- Lowest display setting (on computer)
- Devices (e.g. mobile, tablet, watch)</t>
        </is>
      </c>
      <c r="F17" s="100" t="inlineStr">
        <is>
          <t>Pass</t>
        </is>
      </c>
      <c r="G17" s="102" t="inlineStr">
        <is>
          <t>Checked the dashboard at 1920x1080 (HD), 1440x900 (recommended on this Mac) and 1366x768 / 1024x768 (lowest). It looked fine at all of them. Phones are tested on the mobile sheets.</t>
        </is>
      </c>
      <c r="H17" s="102" t="n"/>
      <c r="I17" s="105" t="n"/>
      <c r="J17" s="105" t="n"/>
      <c r="K17" s="102" t="inlineStr">
        <is>
          <t>Compatibility Testing Evidence/safari-resolution-small.png</t>
        </is>
      </c>
      <c r="L17" s="104" t="n">
        <v>4.2</v>
      </c>
    </row>
    <row r="18" ht="67" customHeight="1">
      <c r="B18" s="21" t="n"/>
      <c r="C18" s="65" t="n">
        <v>6</v>
      </c>
      <c r="D18" s="71" t="inlineStr">
        <is>
          <t>Page structure</t>
        </is>
      </c>
      <c r="E18" s="45" t="inlineStr">
        <is>
          <t>Does the page scroll smoothly without lagging?</t>
        </is>
      </c>
      <c r="F18" s="100" t="inlineStr">
        <is>
          <t>Pass</t>
        </is>
      </c>
      <c r="G18" s="102" t="inlineStr">
        <is>
          <t>Scrolled from the top to the bottom of the dashboard. It was smooth with no lag (about 63 frames per second).</t>
        </is>
      </c>
      <c r="H18" s="102" t="n"/>
      <c r="I18" s="105" t="n"/>
      <c r="J18" s="105" t="n"/>
      <c r="K18" s="102" t="n"/>
      <c r="L18" s="104" t="n">
        <v>4.82</v>
      </c>
    </row>
    <row r="19" ht="67" customHeight="1">
      <c r="B19" s="21" t="n"/>
      <c r="C19" s="65" t="n">
        <v>7</v>
      </c>
      <c r="D19" s="71" t="inlineStr">
        <is>
          <t>Page structure</t>
        </is>
      </c>
      <c r="E19" s="45" t="inlineStr">
        <is>
          <t>Is the page content viewable without the need for a horizontal scroll bar? (horizontal scrolling is generally not recommended/preferred)</t>
        </is>
      </c>
      <c r="F19" s="100" t="inlineStr">
        <is>
          <t>Pass</t>
        </is>
      </c>
      <c r="G19" s="102" t="inlineStr">
        <is>
          <t>No horizontal scroll bar on the login page or the dashboard. Everything fits the width of the screen.</t>
        </is>
      </c>
      <c r="H19" s="102" t="n"/>
      <c r="I19" s="105" t="n"/>
      <c r="J19" s="105" t="n"/>
      <c r="K19" s="102" t="n"/>
      <c r="L19" s="104" t="n">
        <v>3.64</v>
      </c>
    </row>
    <row r="20" ht="93" customHeight="1">
      <c r="B20" s="21" t="n"/>
      <c r="C20" s="65" t="n">
        <v>8</v>
      </c>
      <c r="D20" s="71" t="inlineStr">
        <is>
          <t>Page structure</t>
        </is>
      </c>
      <c r="E20" s="45" t="inlineStr">
        <is>
          <t>Do menus function correctly when opened, traversed and activated/clicked, including: 
- Hamburger menu
- Expandable menus
- Collapsible menus
- Drop down "more information" menus (usually available via an ellipsis …)</t>
        </is>
      </c>
      <c r="F20" s="106" t="inlineStr">
        <is>
          <t>Pass</t>
        </is>
      </c>
      <c r="G20" s="102" t="inlineStr">
        <is>
          <t>Our app has no hamburger or expandable menus. The only menu is the student dropdown on the login page - I picked all 5 students one by one and each one got selected.</t>
        </is>
      </c>
      <c r="H20" s="102" t="n"/>
      <c r="I20" s="105" t="n"/>
      <c r="J20" s="105" t="n"/>
      <c r="K20" s="102" t="n"/>
      <c r="L20" s="104" t="n">
        <v>0.97</v>
      </c>
    </row>
    <row r="21" ht="67" customHeight="1">
      <c r="B21" s="21" t="n"/>
      <c r="C21" s="65" t="n">
        <v>9</v>
      </c>
      <c r="D21" s="71" t="inlineStr">
        <is>
          <t>Page structure</t>
        </is>
      </c>
      <c r="E21" s="45" t="inlineStr">
        <is>
          <t>Does the page view correctly when using zoom in and out?</t>
        </is>
      </c>
      <c r="F21" s="106" t="inlineStr">
        <is>
          <t>Pass</t>
        </is>
      </c>
      <c r="G21" s="102" t="inlineStr">
        <is>
          <t>Zoomed in to 200% and out to 50%. The text and bars resized properly and nothing went off the screen.</t>
        </is>
      </c>
      <c r="H21" s="102" t="n"/>
      <c r="I21" s="105" t="n"/>
      <c r="J21" s="105" t="n"/>
      <c r="K21" s="102" t="inlineStr">
        <is>
          <t>Compatibility Testing Evidence/safari-zoom-200.png</t>
        </is>
      </c>
      <c r="L21" s="104" t="n">
        <v>4.48</v>
      </c>
    </row>
    <row r="22" ht="119" customHeight="1">
      <c r="B22" s="21" t="n"/>
      <c r="C22" s="65" t="n">
        <v>10</v>
      </c>
      <c r="D22" s="71" t="inlineStr">
        <is>
          <t>Page structure</t>
        </is>
      </c>
      <c r="E22" s="45" t="inlineStr">
        <is>
          <t>When JavaScript is turned off, do understandable error messages appear explaining that JavaScript must be enabled to display required content, without any scripts being displayed to on the screen?</t>
        </is>
      </c>
      <c r="F22" s="106" t="inlineStr">
        <is>
          <t>Pass</t>
        </is>
      </c>
      <c r="G22" s="102" t="inlineStr">
        <is>
          <t>With JavaScript off the page shows: "Learning Journey Assistant
Please enable JavaScript in your browser to use this" (This failed in my first test run - see DEF-01. After the fix I retested it and it passed.)</t>
        </is>
      </c>
      <c r="H22" s="102" t="inlineStr">
        <is>
          <t>DEF-01</t>
        </is>
      </c>
      <c r="I22" s="105" t="inlineStr">
        <is>
          <t>Minor</t>
        </is>
      </c>
      <c r="J22" s="105" t="inlineStr">
        <is>
          <t>With JavaScript disabled the app shows a blank white page and no message. Expected: a message like "Please enable JavaScript to use this app" (e.g. a &lt;noscript&gt; tag in layout.tsx). Fixed: added a message telling users to turn on JavaScript. Retested 05/10/2026: Pass.</t>
        </is>
      </c>
      <c r="K22" s="102" t="inlineStr">
        <is>
          <t>After fix: Compatibility Testing Evidence/safari-javascript-off.png
Before fix: Compatibility Testing Evidence/first-run/safari-javascript-off.png</t>
        </is>
      </c>
      <c r="L22" s="104" t="n">
        <v>1.71</v>
      </c>
    </row>
    <row r="23" ht="101.95" customHeight="1">
      <c r="B23" s="21" t="n"/>
      <c r="C23" s="65" t="n">
        <v>11</v>
      </c>
      <c r="D23" s="54" t="inlineStr">
        <is>
          <t>Images</t>
        </is>
      </c>
      <c r="E23" s="45" t="inlineStr">
        <is>
          <t>Are images displayed correctly, including: 
- Position on the page (alignment, not overlapping fields, content or edge of screen)
- Rendering 
- Resolution
- Background (e.g. transparent)
- Lazy loading (load on scroll)
- No distortion (i.e. correct aspect ratio)
- No broken links</t>
        </is>
      </c>
      <c r="F23" s="106" t="inlineStr">
        <is>
          <t>Not applicable</t>
        </is>
      </c>
      <c r="G23" s="102" t="inlineStr">
        <is>
          <t>Our pages don't have any images. The logo is just the letters "LJ" in a purple box (made with text, not an image).</t>
        </is>
      </c>
      <c r="H23" s="102" t="n"/>
      <c r="I23" s="105" t="n"/>
      <c r="J23" s="105" t="n"/>
      <c r="K23" s="102" t="n"/>
      <c r="L23" s="104" t="n"/>
    </row>
    <row r="24" ht="28" customHeight="1">
      <c r="B24" s="21" t="n"/>
      <c r="C24" s="65" t="n">
        <v>12</v>
      </c>
      <c r="D24" s="54" t="inlineStr">
        <is>
          <t>Images</t>
        </is>
      </c>
      <c r="E24" s="45" t="inlineStr">
        <is>
          <t>Are images suitable for the given content and context?</t>
        </is>
      </c>
      <c r="F24" s="106" t="inlineStr">
        <is>
          <t>Not applicable</t>
        </is>
      </c>
      <c r="G24" s="102" t="inlineStr">
        <is>
          <t>No images on the login page or dashboard.</t>
        </is>
      </c>
      <c r="H24" s="102" t="n"/>
      <c r="I24" s="105" t="n"/>
      <c r="J24" s="105" t="n"/>
      <c r="K24" s="102" t="n"/>
      <c r="L24" s="104" t="n"/>
    </row>
    <row r="25" ht="28" customHeight="1">
      <c r="B25" s="21" t="n"/>
      <c r="C25" s="65" t="n">
        <v>13</v>
      </c>
      <c r="D25" s="54" t="inlineStr">
        <is>
          <t>Images</t>
        </is>
      </c>
      <c r="E25" s="45" t="inlineStr">
        <is>
          <t xml:space="preserve">Do images include suitable alternative text? </t>
        </is>
      </c>
      <c r="F25" s="106" t="inlineStr">
        <is>
          <t>Not applicable</t>
        </is>
      </c>
      <c r="G25" s="102" t="inlineStr">
        <is>
          <t>No images, so there is no alt text to check.</t>
        </is>
      </c>
      <c r="H25" s="102" t="n"/>
      <c r="I25" s="105" t="n"/>
      <c r="J25" s="105" t="n"/>
      <c r="K25" s="102" t="n"/>
      <c r="L25" s="104" t="n"/>
    </row>
    <row r="26" ht="28" customHeight="1">
      <c r="B26" s="21" t="n"/>
      <c r="C26" s="65" t="n">
        <v>14</v>
      </c>
      <c r="D26" s="54" t="inlineStr">
        <is>
          <t>Images</t>
        </is>
      </c>
      <c r="E26" s="45" t="inlineStr">
        <is>
          <t>Do clickable images navigate to the correct location?</t>
        </is>
      </c>
      <c r="F26" s="106" t="inlineStr">
        <is>
          <t>Not applicable</t>
        </is>
      </c>
      <c r="G26" s="102" t="inlineStr">
        <is>
          <t>No clickable images in the app.</t>
        </is>
      </c>
      <c r="H26" s="102" t="n"/>
      <c r="I26" s="105" t="n"/>
      <c r="J26" s="105" t="n"/>
      <c r="K26" s="102" t="n"/>
      <c r="L26" s="104" t="n"/>
    </row>
    <row r="27" ht="41" customHeight="1">
      <c r="B27" s="21" t="n"/>
      <c r="C27" s="65" t="n">
        <v>15</v>
      </c>
      <c r="D27" s="54" t="inlineStr">
        <is>
          <t>Images</t>
        </is>
      </c>
      <c r="E27" s="45" t="inlineStr">
        <is>
          <t xml:space="preserve">Do images display correctly when screen is zoomed in and out? </t>
        </is>
      </c>
      <c r="F27" s="106" t="inlineStr">
        <is>
          <t>Not applicable</t>
        </is>
      </c>
      <c r="G27" s="102" t="inlineStr">
        <is>
          <t>No images. (Zoom for the rest of the page was checked in test 9.)</t>
        </is>
      </c>
      <c r="H27" s="102" t="n"/>
      <c r="I27" s="105" t="n"/>
      <c r="J27" s="105" t="n"/>
      <c r="K27" s="102" t="n"/>
      <c r="L27" s="104" t="n"/>
    </row>
    <row r="28" ht="28" customHeight="1">
      <c r="B28" s="21" t="n"/>
      <c r="C28" s="65" t="n">
        <v>16</v>
      </c>
      <c r="D28" s="54" t="inlineStr">
        <is>
          <t>Images</t>
        </is>
      </c>
      <c r="E28" s="45" t="inlineStr">
        <is>
          <t>Do animated behaviours display correctly (e.g. Giff)</t>
        </is>
      </c>
      <c r="F28" s="106" t="inlineStr">
        <is>
          <t>Not applicable</t>
        </is>
      </c>
      <c r="G28" s="102" t="inlineStr">
        <is>
          <t>No GIFs or animations in the app.</t>
        </is>
      </c>
      <c r="H28" s="102" t="n"/>
      <c r="I28" s="105" t="n"/>
      <c r="J28" s="105" t="n"/>
      <c r="K28" s="102" t="n"/>
      <c r="L28" s="104" t="n"/>
    </row>
    <row r="29" ht="28" customHeight="1">
      <c r="B29" s="21" t="n"/>
      <c r="C29" s="65" t="n">
        <v>17</v>
      </c>
      <c r="D29" s="72" t="inlineStr">
        <is>
          <t>Videos</t>
        </is>
      </c>
      <c r="E29" s="45" t="inlineStr">
        <is>
          <t xml:space="preserve">Are videos displayed, positioned and rendered correctly on the page, with the correct thumbnails? </t>
        </is>
      </c>
      <c r="F29" s="106" t="inlineStr">
        <is>
          <t>Not applicable</t>
        </is>
      </c>
      <c r="G29" s="102" t="inlineStr">
        <is>
          <t>The app doesn't have any videos.</t>
        </is>
      </c>
      <c r="H29" s="102" t="n"/>
      <c r="I29" s="105" t="n"/>
      <c r="J29" s="105" t="n"/>
      <c r="K29" s="102" t="n"/>
      <c r="L29" s="104" t="n"/>
    </row>
    <row r="30" ht="63.7" customHeight="1">
      <c r="B30" s="21" t="n"/>
      <c r="C30" s="65" t="n">
        <v>18</v>
      </c>
      <c r="D30" s="72" t="inlineStr">
        <is>
          <t>Videos</t>
        </is>
      </c>
      <c r="E30" s="45" t="inlineStr">
        <is>
          <t>Do videos play correctly, including (where required):
- Auto play
- Click to play 
- Tap to play
- Picture in picture (PiP)</t>
        </is>
      </c>
      <c r="F30" s="106" t="inlineStr">
        <is>
          <t>Not applicable</t>
        </is>
      </c>
      <c r="G30" s="102" t="inlineStr">
        <is>
          <t>The app doesn't have any videos.</t>
        </is>
      </c>
      <c r="H30" s="102" t="n"/>
      <c r="I30" s="105" t="n"/>
      <c r="J30" s="105" t="n"/>
      <c r="K30" s="102" t="n"/>
      <c r="L30" s="104" t="n"/>
    </row>
    <row r="31" ht="28" customHeight="1">
      <c r="B31" s="21" t="n"/>
      <c r="C31" s="65" t="n">
        <v>19</v>
      </c>
      <c r="D31" s="72" t="inlineStr">
        <is>
          <t>Videos</t>
        </is>
      </c>
      <c r="E31" s="45" t="inlineStr">
        <is>
          <t>Do videos display with the correct defaults (e.g. auto-play, display inline or full screen)</t>
        </is>
      </c>
      <c r="F31" s="106" t="inlineStr">
        <is>
          <t>Not applicable</t>
        </is>
      </c>
      <c r="G31" s="102" t="inlineStr">
        <is>
          <t>The app doesn't have any videos.</t>
        </is>
      </c>
      <c r="H31" s="102" t="n"/>
      <c r="I31" s="105" t="n"/>
      <c r="J31" s="105" t="n"/>
      <c r="K31" s="102" t="n"/>
      <c r="L31" s="104" t="n"/>
    </row>
    <row r="32" ht="50.95" customHeight="1">
      <c r="B32" s="21" t="n"/>
      <c r="C32" s="65" t="n">
        <v>20</v>
      </c>
      <c r="D32" s="72" t="inlineStr">
        <is>
          <t>Videos</t>
        </is>
      </c>
      <c r="E32" s="45" t="inlineStr">
        <is>
          <t>Do all videos display suitable captions, including:
- Captions that match the video content
- Language preferences
- Location on screen</t>
        </is>
      </c>
      <c r="F32" s="106" t="inlineStr">
        <is>
          <t>Not applicable</t>
        </is>
      </c>
      <c r="G32" s="102" t="inlineStr">
        <is>
          <t>The app doesn't have any videos.</t>
        </is>
      </c>
      <c r="H32" s="102" t="n"/>
      <c r="I32" s="105" t="n"/>
      <c r="J32" s="105" t="n"/>
      <c r="K32" s="102" t="n"/>
      <c r="L32" s="104" t="n"/>
    </row>
    <row r="33" ht="50.95" customHeight="1">
      <c r="B33" s="21" t="n"/>
      <c r="C33" s="65" t="n">
        <v>21</v>
      </c>
      <c r="D33" s="72" t="inlineStr">
        <is>
          <t>Videos</t>
        </is>
      </c>
      <c r="E33" s="45" t="inlineStr">
        <is>
          <t>Can videos be moved to:
- Full screen mode 
- Embedded/inline mode
- Press escape from full-screen mode to revert back to inline mode</t>
        </is>
      </c>
      <c r="F33" s="106" t="inlineStr">
        <is>
          <t>Not applicable</t>
        </is>
      </c>
      <c r="G33" s="102" t="inlineStr">
        <is>
          <t>The app doesn't have any videos.</t>
        </is>
      </c>
      <c r="H33" s="102" t="n"/>
      <c r="I33" s="105" t="n"/>
      <c r="J33" s="105" t="n"/>
      <c r="K33" s="102" t="n"/>
      <c r="L33" s="104" t="n"/>
    </row>
    <row r="34" ht="114.65" customHeight="1">
      <c r="B34" s="21" t="n"/>
      <c r="C34" s="65" t="n">
        <v>22</v>
      </c>
      <c r="D34" s="72" t="inlineStr">
        <is>
          <t>Videos</t>
        </is>
      </c>
      <c r="E34" s="45" t="inlineStr">
        <is>
          <t>Do video controls work, including: 
- Play, pause, stop
- Fast forward and rewind (including skip X seconds forward/back)
- Volume 
- Mute/unmute 
- Playback speed (e.g. 0.5x, 1.5x, 2x)
- Resume from last position 
- Download / long-press
- Streaming vs. offline view</t>
        </is>
      </c>
      <c r="F34" s="106" t="inlineStr">
        <is>
          <t>Not applicable</t>
        </is>
      </c>
      <c r="G34" s="102" t="inlineStr">
        <is>
          <t>The app doesn't have any videos.</t>
        </is>
      </c>
      <c r="H34" s="102" t="n"/>
      <c r="I34" s="105" t="n"/>
      <c r="J34" s="105" t="n"/>
      <c r="K34" s="102" t="n"/>
      <c r="L34" s="104" t="n"/>
    </row>
    <row r="35" ht="80" customHeight="1">
      <c r="B35" s="21" t="n"/>
      <c r="C35" s="65" t="n">
        <v>23</v>
      </c>
      <c r="D35" s="51" t="inlineStr">
        <is>
          <t>Forms</t>
        </is>
      </c>
      <c r="E35" s="41" t="inlineStr">
        <is>
          <t xml:space="preserve">Are all required fields visible on the form? </t>
        </is>
      </c>
      <c r="F35" s="106" t="inlineStr">
        <is>
          <t>Pass</t>
        </is>
      </c>
      <c r="G35" s="102" t="inlineStr">
        <is>
          <t>The login form shows both fields I need (Student dropdown and Password) and the Sign in button. All visible without scrolling.</t>
        </is>
      </c>
      <c r="H35" s="102" t="n"/>
      <c r="I35" s="105" t="n"/>
      <c r="J35" s="105" t="n"/>
      <c r="K35" s="102" t="inlineStr">
        <is>
          <t>Compatibility Testing Evidence/safari-login.png</t>
        </is>
      </c>
      <c r="L35" s="104" t="n">
        <v>1.03</v>
      </c>
    </row>
    <row r="36" ht="178.35" customHeight="1">
      <c r="B36" s="21" t="n"/>
      <c r="C36" s="65" t="n">
        <v>24</v>
      </c>
      <c r="D36" s="52" t="inlineStr">
        <is>
          <t>Forms</t>
        </is>
      </c>
      <c r="E36" s="49" t="inlineStr">
        <is>
          <t>Are all form fields positioned within the boundaries of the form, and not overlapping or truncating, including:
- Labels
- Single line textboxes
- Multi-line textboxes
- Dropdown lists
- Radio buttons
- Checkboxes 
- Date pickers
- Tables 
- Grids 
- Menus and submenus 
- Images
- Drag and drop</t>
        </is>
      </c>
      <c r="F36" s="106" t="inlineStr">
        <is>
          <t>Pass</t>
        </is>
      </c>
      <c r="G36" s="102" t="inlineStr">
        <is>
          <t>Labels, the dropdown, the password box and the button all sit inside the white form box. Nothing overlaps or gets cut off.</t>
        </is>
      </c>
      <c r="H36" s="102" t="n"/>
      <c r="I36" s="105" t="n"/>
      <c r="J36" s="105" t="n"/>
      <c r="K36" s="102" t="n"/>
      <c r="L36" s="104" t="n">
        <v>0.92</v>
      </c>
    </row>
    <row r="37" ht="127.4" customHeight="1">
      <c r="B37" s="21" t="n"/>
      <c r="C37" s="65" t="n">
        <v>25</v>
      </c>
      <c r="D37" s="52" t="inlineStr">
        <is>
          <t>Forms</t>
        </is>
      </c>
      <c r="E37" s="49" t="inlineStr">
        <is>
          <t>Does tool tip text display correctly for each field, including:
- Single line textboxes
- Multi-line textboxes
- Dropdown lists
- Radio buttons
- Checkboxes 
- Date pickers
- Tables 
- Grids 
- Drag and drop</t>
        </is>
      </c>
      <c r="F37" s="106" t="inlineStr">
        <is>
          <t>Not applicable</t>
        </is>
      </c>
      <c r="G37" s="102" t="inlineStr">
        <is>
          <t>Our form fields don't have tooltips. Each field has a label above it instead ("Student", "Password").</t>
        </is>
      </c>
      <c r="H37" s="102" t="n"/>
      <c r="I37" s="105" t="n"/>
      <c r="J37" s="105" t="n"/>
      <c r="K37" s="102" t="n"/>
      <c r="L37" s="104" t="n"/>
    </row>
    <row r="38" ht="142.9" customHeight="1">
      <c r="B38" s="21" t="n"/>
      <c r="C38" s="65" t="n">
        <v>26</v>
      </c>
      <c r="D38" s="52" t="inlineStr">
        <is>
          <t>Forms</t>
        </is>
      </c>
      <c r="E38" s="49" t="inlineStr">
        <is>
          <t>Can data be input into each field correctly, including:
- Single line textboxes
- Multi-line textboxes
- Dropdown lists
- Radio buttons
- Checkboxes 
- Date pickers
- Tables 
- Grids 
- Drag and drop
- Copy/paste</t>
        </is>
      </c>
      <c r="F38" s="106" t="inlineStr">
        <is>
          <t>Pass</t>
        </is>
      </c>
      <c r="G38" s="102" t="inlineStr">
        <is>
          <t>Picked a student from the dropdown and typed letters, numbers and symbols in the password box. Both worked and the password showed as dots. (Didn't test copy/paste because browsers block copying out of password boxes.)</t>
        </is>
      </c>
      <c r="H38" s="102" t="n"/>
      <c r="I38" s="105" t="n"/>
      <c r="J38" s="105" t="n"/>
      <c r="K38" s="102" t="n"/>
      <c r="L38" s="104" t="n">
        <v>0.98</v>
      </c>
    </row>
    <row r="39" ht="106" customHeight="1">
      <c r="B39" s="21" t="n"/>
      <c r="C39" s="65" t="n">
        <v>27</v>
      </c>
      <c r="D39" s="52" t="inlineStr">
        <is>
          <t>Forms</t>
        </is>
      </c>
      <c r="E39" s="49" t="inlineStr">
        <is>
          <t xml:space="preserve">When invalid/negative data is input into a field: 
- Are understandable error messages displayed? 
- Are error messages displayed at the right time (e.g. when focus leaves the field, or on save)?
- Are error messages positioned in the correct location?
- Are error validation icons (e.g. ticks, crosses) displayed in the correct location, colour and format? </t>
        </is>
      </c>
      <c r="F39" s="106" t="inlineStr">
        <is>
          <t>Pass</t>
        </is>
      </c>
      <c r="G39" s="102" t="inlineStr">
        <is>
          <t>Empty password: the browser stopped me and said "Fill out this field". Wrong password: a red "Invalid credentials" message showed just above the Sign in button after I clicked it.</t>
        </is>
      </c>
      <c r="H39" s="102" t="n"/>
      <c r="I39" s="105" t="n"/>
      <c r="J39" s="105" t="n"/>
      <c r="K39" s="102" t="inlineStr">
        <is>
          <t>Compatibility Testing Evidence/safari-invalid-login.png</t>
        </is>
      </c>
      <c r="L39" s="104" t="n">
        <v>2.29</v>
      </c>
    </row>
    <row r="40" ht="93" customHeight="1">
      <c r="B40" s="21" t="n"/>
      <c r="C40" s="65" t="n">
        <v>28</v>
      </c>
      <c r="D40" s="52" t="inlineStr">
        <is>
          <t>Forms</t>
        </is>
      </c>
      <c r="E40" s="49" t="inlineStr">
        <is>
          <t xml:space="preserve">When placeholder text is included in each form field, is the text: 
- Visible 
- Understandable
- Rendered in the correct colour (i.e. to differentiate from user inputs) </t>
        </is>
      </c>
      <c r="F40" s="106" t="inlineStr">
        <is>
          <t>Pass</t>
        </is>
      </c>
      <c r="G40" s="102" t="inlineStr">
        <is>
          <t>When the student list can't load, the Student box shows the placeholder "e.g. S001" in grey, so it looks different from real typed text. Easy to understand.</t>
        </is>
      </c>
      <c r="H40" s="102" t="n"/>
      <c r="I40" s="105" t="n"/>
      <c r="J40" s="105" t="n"/>
      <c r="K40" s="102" t="inlineStr">
        <is>
          <t>Compatibility Testing Evidence/safari-placeholder.png</t>
        </is>
      </c>
      <c r="L40" s="104" t="n">
        <v>0.15</v>
      </c>
    </row>
    <row r="41" ht="80" customHeight="1">
      <c r="B41" s="21" t="n"/>
      <c r="C41" s="65" t="n">
        <v>29</v>
      </c>
      <c r="D41" s="52" t="inlineStr">
        <is>
          <t>Forms</t>
        </is>
      </c>
      <c r="E41" s="49" t="inlineStr">
        <is>
          <t>Do form fields auto-complete correctly, using data previously saved by the browser?</t>
        </is>
      </c>
      <c r="F41" s="106" t="inlineStr">
        <is>
          <t>Not run</t>
        </is>
      </c>
      <c r="G41" s="102" t="inlineStr">
        <is>
          <t>The password box is set up for autofill (autocomplete="current-password"), but the test browser has no saved passwords so I couldn't try it.</t>
        </is>
      </c>
      <c r="H41" s="102" t="n"/>
      <c r="I41" s="105" t="n"/>
      <c r="J41" s="105" t="n"/>
      <c r="K41" s="102" t="n"/>
      <c r="L41" s="104" t="n"/>
    </row>
    <row r="42" ht="184" customHeight="1">
      <c r="A42" s="21" t="n"/>
      <c r="B42" s="21" t="n"/>
      <c r="C42" s="65" t="n">
        <v>30</v>
      </c>
      <c r="D42" s="53" t="inlineStr">
        <is>
          <t>Forms</t>
        </is>
      </c>
      <c r="E42" s="45" t="inlineStr">
        <is>
          <t xml:space="preserve">When the user submits a form (e.g. by clicking Save, Submit or OK):
- Is a visual indicator displayed to indicate that the form is saving (e.g. spinning wheel or progress bar)?
- After the form is saved/submitted, does an appropriate success message appear?
- Is the success message in the correct location, format and colour? </t>
        </is>
      </c>
      <c r="F42" s="100" t="inlineStr">
        <is>
          <t>Pass</t>
        </is>
      </c>
      <c r="G42" s="102" t="inlineStr">
        <is>
          <t>Login form: the button changes to "Signing in…" while it works and then the dashboard opens with "Hi Chloe". "Generate my study plan" also shows "Generating..." and then my personalised study plan appears for each knowledge gap. (This failed in my first test run - see DEF-02. After the fix I retested it and it passed.)</t>
        </is>
      </c>
      <c r="H42" s="102" t="inlineStr">
        <is>
          <t>DEF-02</t>
        </is>
      </c>
      <c r="I42" s="105" t="inlineStr">
        <is>
          <t>Minor</t>
        </is>
      </c>
      <c r="J42" s="105" t="inlineStr">
        <is>
          <t>AI study plan can't be generated: the server returns an error because no GROQ_API_KEY is configured on Render. Same on every system. This is a configuration issue (missing setting), not a bug in the code. Fixed: GROQ_API_KEY added to the backend on Render. Retested 05/10/2026: Pass.</t>
        </is>
      </c>
      <c r="K42" s="102" t="inlineStr">
        <is>
          <t>After fix: Compatibility Testing Evidence/safari-ai-study-plan.png
Before fix: Compatibility Testing Evidence/first-run/safari-ai-study-plan-error.png</t>
        </is>
      </c>
      <c r="L42" s="104" t="n">
        <v>9.67</v>
      </c>
    </row>
    <row r="43" ht="119" customFormat="1" customHeight="1" s="5">
      <c r="A43" s="28" t="n"/>
      <c r="B43" s="21" t="n"/>
      <c r="C43" s="65" t="n">
        <v>31</v>
      </c>
      <c r="D43" s="73" t="inlineStr">
        <is>
          <t>Interactions</t>
        </is>
      </c>
      <c r="E43" s="45" t="inlineStr">
        <is>
          <t>Do mouse inputs work correctly, including:
- Hover over (e.g. display tool tip text)
- Right mouse button click 
- Left mouse button click 
- Scroll wheel 
- Programmable mouse buttons
- Any other mouse buttons</t>
        </is>
      </c>
      <c r="F43" s="100" t="inlineStr">
        <is>
          <t>Pass</t>
        </is>
      </c>
      <c r="G43" s="102" t="inlineStr">
        <is>
          <t>Hovering over the Sign in button makes it lighter. Left click works on all buttons. The scroll wheel scrolls the dashboard. Right click opens the normal browser menu. (No tooltips in our app.)</t>
        </is>
      </c>
      <c r="H43" s="102" t="n"/>
      <c r="I43" s="77" t="n"/>
      <c r="J43" s="77" t="n"/>
      <c r="K43" s="102" t="n"/>
      <c r="L43" s="104" t="n">
        <v>4.14</v>
      </c>
      <c r="M43" s="28" t="n"/>
    </row>
    <row r="44" ht="106" customFormat="1" customHeight="1" s="5">
      <c r="A44" s="28" t="n"/>
      <c r="B44" s="21" t="n"/>
      <c r="C44" s="65" t="n">
        <v>32</v>
      </c>
      <c r="D44" s="73" t="inlineStr">
        <is>
          <t>Interactions</t>
        </is>
      </c>
      <c r="E44" s="45" t="inlineStr">
        <is>
          <t>Do keyboard inputs work correctly, including:
- Letters
- Numbers
- Symbols
- Function keys (F1 to F12)
- Control keys (e.g. escape, control, command (Apple Mac) alt, shift, tab, print screen, enter, shift lock, num lock, etc.)
- Navigation keys (arrow keys, home, end, page up, page down)</t>
        </is>
      </c>
      <c r="F44" s="100" t="inlineStr">
        <is>
          <t>Pass</t>
        </is>
      </c>
      <c r="G44" s="102" t="inlineStr">
        <is>
          <t>Tab moved from the dropdown to the password box. Letters, numbers and symbols typed fine, Backspace worked and Enter logged me in. Function keys aren't used by our app.</t>
        </is>
      </c>
      <c r="H44" s="102" t="n"/>
      <c r="I44" s="77" t="n"/>
      <c r="J44" s="77" t="n"/>
      <c r="K44" s="102" t="n"/>
      <c r="L44" s="104" t="n">
        <v>3.34</v>
      </c>
      <c r="M44" s="28" t="n"/>
    </row>
    <row r="45" ht="191.1" customFormat="1" customHeight="1" s="5">
      <c r="A45" s="28" t="n"/>
      <c r="B45" s="21" t="n"/>
      <c r="C45" s="65" t="n">
        <v>33</v>
      </c>
      <c r="D45" s="73" t="inlineStr">
        <is>
          <t>Interactions</t>
        </is>
      </c>
      <c r="E45" s="45" t="inlineStr">
        <is>
          <t>Do touchscreen and mobile inputs work correctly, including: 
- Tap
- Double tap
- Multi-touch
- Long press / tap-and-hold
- Swipe
- Scroll 
- Two-finger scroll
- Pinch (zoom in) and spread (zoom out)
- Rotate screen 
- Back navigation (e.g. back button or swipe)
- Forward navigation (e.g. swipe)
- System gestures (e.g. swipe up from bottom of screen)
- Stylus based input
- Voice input</t>
        </is>
      </c>
      <c r="F45" s="100" t="inlineStr">
        <is>
          <t>Not applicable</t>
        </is>
      </c>
      <c r="G45" s="102" t="inlineStr">
        <is>
          <t>This is a laptop without a touchscreen. Touch is tested on the iPhone and Android sheets.</t>
        </is>
      </c>
      <c r="H45" s="102" t="n"/>
      <c r="I45" s="77" t="n"/>
      <c r="J45" s="77" t="n"/>
      <c r="K45" s="102" t="n"/>
      <c r="L45" s="104" t="n"/>
      <c r="M45" s="28" t="n"/>
    </row>
    <row r="46" ht="101.95" customFormat="1" customHeight="1" s="5">
      <c r="A46" s="28" t="n"/>
      <c r="B46" s="21" t="n"/>
      <c r="C46" s="65" t="n">
        <v>34</v>
      </c>
      <c r="D46" s="73" t="inlineStr">
        <is>
          <t>Interactions</t>
        </is>
      </c>
      <c r="E46" s="45" t="inlineStr">
        <is>
          <t>Do smartwatch inputs work correctly, including: 
- Tap
- Swipe
- Long press (including on text, links, images and video)
- Button press
- Double button press
- Hard press 
- Voice input</t>
        </is>
      </c>
      <c r="F46" s="100" t="inlineStr">
        <is>
          <t>Not applicable</t>
        </is>
      </c>
      <c r="G46" s="102" t="inlineStr">
        <is>
          <t>Our app isn't made for smartwatches.</t>
        </is>
      </c>
      <c r="H46" s="102" t="n"/>
      <c r="I46" s="77" t="n"/>
      <c r="J46" s="77" t="n"/>
      <c r="K46" s="102" t="n"/>
      <c r="L46" s="104" t="n"/>
      <c r="M46" s="28" t="n"/>
    </row>
    <row r="47" ht="331.2" customFormat="1" customHeight="1" s="5">
      <c r="A47" s="28" t="n"/>
      <c r="B47" s="21" t="n"/>
      <c r="C47" s="65" t="n">
        <v>35</v>
      </c>
      <c r="D47" s="73" t="inlineStr">
        <is>
          <t>Interactions</t>
        </is>
      </c>
      <c r="E47" s="45" t="inlineStr">
        <is>
          <t>Do joystick inputs work correctly, including: 
- Buttons
       * Primary buttons (e.g. A, B, X, Y)
       * Select/confirm button (enter equivalent)
       * Cancel/back (escape equivalent)
       * Context actions (e.g. shortcuts)
       * Shoulder/trigger buttons (L1, L2, R1, R2)
       * Paging (scroll between sections)
       * Secondary actions (e.g. zoom, rotate)
       * Start button
       * Menu button 
- Directions  
        * Up, down, left, right, diagonal (navigating menus, moving focus)
        * Continuous hold vs. single press (scroll vs. step)
- Analog behaviour
       * Dead zone testing (ensuring slight nudges do not move focus unintentionally)
       * Sensitivity testing (slow vs. fast movements)
       * Left and right sticks 
       * Circular movement 
- Gestures &amp; special inputs - e.g. 
       * Long press buttons 
       * Double-tap buttons 
       * Combination presses (e.g. L1 + R1 = action A)
- System inputs 
       * Home/dashboard button (does app handle pausing/losing focus gracefully?)
       * Power button interactions (suspend, resume)</t>
        </is>
      </c>
      <c r="F47" s="100" t="inlineStr">
        <is>
          <t>Not applicable</t>
        </is>
      </c>
      <c r="G47" s="102" t="inlineStr">
        <is>
          <t>Our app isn't made for game controllers / joysticks.</t>
        </is>
      </c>
      <c r="H47" s="102" t="n"/>
      <c r="I47" s="77" t="n"/>
      <c r="J47" s="77" t="n"/>
      <c r="K47" s="102" t="n"/>
      <c r="L47" s="104" t="n"/>
      <c r="M47" s="28" t="n"/>
    </row>
    <row r="48" ht="28" customHeight="1">
      <c r="B48" s="21" t="n"/>
      <c r="C48" s="65" t="n">
        <v>36</v>
      </c>
      <c r="D48" s="64" t="inlineStr">
        <is>
          <t>File download</t>
        </is>
      </c>
      <c r="E48" s="41" t="inlineStr">
        <is>
          <t>Can files be downloaded correctly, including all supported file types, and for max file sizes?</t>
        </is>
      </c>
      <c r="F48" s="100" t="inlineStr">
        <is>
          <t>Not applicable</t>
        </is>
      </c>
      <c r="G48" s="102" t="inlineStr">
        <is>
          <t>The app doesn't have any file downloads.</t>
        </is>
      </c>
      <c r="H48" s="102" t="n"/>
      <c r="I48" s="105" t="n"/>
      <c r="J48" s="105" t="n"/>
      <c r="K48" s="102" t="n"/>
      <c r="L48" s="104" t="n"/>
    </row>
    <row r="49" ht="63.7" customHeight="1">
      <c r="B49" s="21" t="n"/>
      <c r="C49" s="65" t="n">
        <v>37</v>
      </c>
      <c r="D49" s="64" t="inlineStr">
        <is>
          <t>File download</t>
        </is>
      </c>
      <c r="E49" s="41" t="inlineStr">
        <is>
          <t>For each downloaded file: 
- Does the downloaded file open on the given device? 
- Are the file format, layout, fonts and styles correct?
- Is there no text overlapping or truncating?
- Are images displayed correctly?</t>
        </is>
      </c>
      <c r="F49" s="100" t="inlineStr">
        <is>
          <t>Not applicable</t>
        </is>
      </c>
      <c r="G49" s="102" t="inlineStr">
        <is>
          <t>The app doesn't have any file downloads.</t>
        </is>
      </c>
      <c r="H49" s="102" t="n"/>
      <c r="I49" s="105" t="n"/>
      <c r="J49" s="105" t="n"/>
      <c r="K49" s="102" t="n"/>
      <c r="L49" s="104" t="n"/>
    </row>
    <row r="50" ht="28" customFormat="1" customHeight="1" s="5">
      <c r="A50" s="28" t="n"/>
      <c r="B50" s="21" t="n"/>
      <c r="C50" s="65" t="n">
        <v>38</v>
      </c>
      <c r="D50" s="64" t="inlineStr">
        <is>
          <t>File download</t>
        </is>
      </c>
      <c r="E50" s="41" t="inlineStr">
        <is>
          <t>Is there a visual indicator displayed during the download process, so the user understands that a download is in progress (e.g. spinning wheel or progress bar)?</t>
        </is>
      </c>
      <c r="F50" s="100" t="inlineStr">
        <is>
          <t>Not applicable</t>
        </is>
      </c>
      <c r="G50" s="102" t="inlineStr">
        <is>
          <t>The app doesn't have any file downloads.</t>
        </is>
      </c>
      <c r="H50" s="102" t="n"/>
      <c r="I50" s="107" t="n"/>
      <c r="J50" s="77" t="n"/>
      <c r="K50" s="102" t="n"/>
      <c r="L50" s="104" t="n"/>
      <c r="M50" s="28" t="n"/>
    </row>
    <row r="51" ht="28" customFormat="1" customHeight="1" s="5">
      <c r="A51" s="28" t="n"/>
      <c r="B51" s="21" t="n"/>
      <c r="C51" s="65" t="n">
        <v>39</v>
      </c>
      <c r="D51" s="74" t="inlineStr">
        <is>
          <t>File upload</t>
        </is>
      </c>
      <c r="E51" s="41" t="inlineStr">
        <is>
          <t>Can files can uploaded successfully, across all supported file formats, including maximum file sizes?</t>
        </is>
      </c>
      <c r="F51" s="100" t="inlineStr">
        <is>
          <t>Not applicable</t>
        </is>
      </c>
      <c r="G51" s="102" t="inlineStr">
        <is>
          <t>The app doesn't have any file uploads.</t>
        </is>
      </c>
      <c r="H51" s="102" t="n"/>
      <c r="I51" s="107" t="n"/>
      <c r="J51" s="77" t="n"/>
      <c r="K51" s="102" t="n"/>
      <c r="L51" s="104" t="n"/>
      <c r="M51" s="28" t="n"/>
    </row>
    <row r="52" ht="28" customFormat="1" customHeight="1" s="5">
      <c r="A52" s="28" t="n"/>
      <c r="B52" s="21" t="n"/>
      <c r="C52" s="65" t="n">
        <v>40</v>
      </c>
      <c r="D52" s="74" t="inlineStr">
        <is>
          <t>File upload</t>
        </is>
      </c>
      <c r="E52" s="41" t="inlineStr">
        <is>
          <t>Is there a visual indicator displayed during the upload process, so the user understands that an upload is in progress (e.g. spinning wheel or progress bar)?</t>
        </is>
      </c>
      <c r="F52" s="100" t="inlineStr">
        <is>
          <t>Not applicable</t>
        </is>
      </c>
      <c r="G52" s="102" t="inlineStr">
        <is>
          <t>The app doesn't have any file uploads.</t>
        </is>
      </c>
      <c r="H52" s="102" t="n"/>
      <c r="I52" s="107" t="n"/>
      <c r="J52" s="77" t="n"/>
      <c r="K52" s="102" t="n"/>
      <c r="L52" s="104" t="n"/>
      <c r="M52" s="28" t="n"/>
    </row>
    <row r="53" ht="38.25" customFormat="1" customHeight="1" s="5">
      <c r="A53" s="28" t="n"/>
      <c r="B53" s="21" t="n"/>
      <c r="C53" s="65" t="n">
        <v>41</v>
      </c>
      <c r="D53" s="74" t="inlineStr">
        <is>
          <t>File upload</t>
        </is>
      </c>
      <c r="E53" s="41" t="inlineStr">
        <is>
          <t xml:space="preserve">Is a suitable error message displayed for:
- File sizes that are too big 
- Incorrect file formats? </t>
        </is>
      </c>
      <c r="F53" s="100" t="inlineStr">
        <is>
          <t>Not applicable</t>
        </is>
      </c>
      <c r="G53" s="102" t="inlineStr">
        <is>
          <t>The app doesn't have any file uploads.</t>
        </is>
      </c>
      <c r="H53" s="102" t="n"/>
      <c r="I53" s="107" t="n"/>
      <c r="J53" s="77" t="n"/>
      <c r="K53" s="102" t="n"/>
      <c r="L53" s="104" t="n"/>
      <c r="M53" s="28" t="n"/>
    </row>
    <row r="54" ht="171" customHeight="1">
      <c r="B54" s="21" t="n"/>
      <c r="C54" s="65" t="n">
        <v>42</v>
      </c>
      <c r="D54" s="63" t="inlineStr">
        <is>
          <t>Links and navigation</t>
        </is>
      </c>
      <c r="E54" s="45" t="inlineStr">
        <is>
          <t>Is the user able to:  
- Navigate to each field on the page
- Navigate to each link on the page 
- Activate each link on the page 
- Navigate to each menu option on the page 
- Activate each menu option on the page 
- Utilise fields on pop-up screens
- Navigate to next page and previous page 
- Navigate to home page 
- Navigate via voice input</t>
        </is>
      </c>
      <c r="F54" s="100" t="inlineStr">
        <is>
          <t>Pass</t>
        </is>
      </c>
      <c r="G54" s="102" t="inlineStr">
        <is>
          <t>In Safari, Tab skips buttons by default (a Safari setting), so I used Option+Tab. I could move to every field and button (Student -&gt; Password -&gt; Sign in). After login, refreshing the page kept me logged in, and Sign out took me back to the login page. Our app is one page so there is no next/previous page.</t>
        </is>
      </c>
      <c r="H54" s="102" t="n"/>
      <c r="I54" s="105" t="n"/>
      <c r="J54" s="105" t="n"/>
      <c r="K54" s="102" t="n"/>
      <c r="L54" s="104" t="n">
        <v>4.8</v>
      </c>
    </row>
    <row r="55" ht="63.7" customHeight="1">
      <c r="B55" s="21" t="n"/>
      <c r="C55" s="65" t="n">
        <v>43</v>
      </c>
      <c r="D55" s="54" t="inlineStr">
        <is>
          <t>Links and navigation</t>
        </is>
      </c>
      <c r="E55" s="45" t="inlineStr">
        <is>
          <t>Do all hyperlinks function correctly, in terms of:
- Hover over (showing tool tip text)
- Left mouse click 
- Keyboard activate (tab to the link and hit enter)
- Long-press / tap-and-hold</t>
        </is>
      </c>
      <c r="F55" s="106" t="inlineStr">
        <is>
          <t>Not applicable</t>
        </is>
      </c>
      <c r="G55" s="102" t="inlineStr">
        <is>
          <t>There are no hyperlinks in our app, only buttons (checked in tests 31 and 42).</t>
        </is>
      </c>
      <c r="H55" s="102" t="n"/>
      <c r="I55" s="105" t="n"/>
      <c r="J55" s="105" t="n"/>
      <c r="K55" s="102" t="n"/>
      <c r="L55" s="104" t="n"/>
    </row>
    <row r="56" ht="93" customHeight="1">
      <c r="B56" s="21" t="n"/>
      <c r="C56" s="65" t="n">
        <v>44</v>
      </c>
      <c r="D56" s="54" t="inlineStr">
        <is>
          <t>Links and navigation</t>
        </is>
      </c>
      <c r="E56" s="45" t="inlineStr">
        <is>
          <t>Can the user navigate within the web page using the keyboard only, including: 
- Page up 
- Page down 
- Arrow keys 
- Tab / shift tab</t>
        </is>
      </c>
      <c r="F56" s="106" t="inlineStr">
        <is>
          <t>Pass</t>
        </is>
      </c>
      <c r="G56" s="102" t="inlineStr">
        <is>
          <t>On the dashboard, Page Down, Arrow Down and End moved the page down, and Page Up and Home moved it back up. Tab / Shift+Tab move between buttons.</t>
        </is>
      </c>
      <c r="H56" s="102" t="n"/>
      <c r="I56" s="105" t="n"/>
      <c r="J56" s="105" t="n"/>
      <c r="K56" s="102" t="n"/>
      <c r="L56" s="104" t="n">
        <v>5.36</v>
      </c>
    </row>
    <row r="57" ht="50.95" customHeight="1">
      <c r="B57" s="21" t="n"/>
      <c r="C57" s="65" t="n">
        <v>45</v>
      </c>
      <c r="D57" s="72" t="inlineStr">
        <is>
          <t>Haptic feedback</t>
        </is>
      </c>
      <c r="E57" s="45" t="inlineStr">
        <is>
          <t xml:space="preserve">For devices, does haptic feedback work correctly including for: 
- Links 
- Buttons 
- Input fields </t>
        </is>
      </c>
      <c r="F57" s="106" t="inlineStr">
        <is>
          <t>Not applicable</t>
        </is>
      </c>
      <c r="G57" s="102" t="inlineStr">
        <is>
          <t>Laptops don't have haptic feedback. Our app doesn't use vibration.</t>
        </is>
      </c>
      <c r="H57" s="102" t="n"/>
      <c r="I57" s="105" t="n"/>
      <c r="J57" s="105" t="n"/>
      <c r="K57" s="102" t="n"/>
      <c r="L57" s="104" t="n"/>
    </row>
    <row r="58" ht="38.25" customHeight="1">
      <c r="B58" s="21" t="n"/>
      <c r="C58" s="65" t="n">
        <v>46</v>
      </c>
      <c r="D58" s="54" t="inlineStr">
        <is>
          <t>Search field</t>
        </is>
      </c>
      <c r="E58" s="45" t="inlineStr">
        <is>
          <t xml:space="preserve">Is the search bar:
- Displayed in the correctly location? 
- Expand when clicked/in focus (if applicable)? </t>
        </is>
      </c>
      <c r="F58" s="106" t="inlineStr">
        <is>
          <t>Not applicable</t>
        </is>
      </c>
      <c r="G58" s="102" t="inlineStr">
        <is>
          <t>The app doesn't have a search bar.</t>
        </is>
      </c>
      <c r="H58" s="102" t="n"/>
      <c r="I58" s="105" t="n"/>
      <c r="J58" s="105" t="n"/>
      <c r="K58" s="102" t="n"/>
      <c r="L58" s="104" t="n"/>
    </row>
    <row r="59" ht="76.45" customHeight="1">
      <c r="A59" s="40" t="n"/>
      <c r="C59" s="65" t="n">
        <v>47</v>
      </c>
      <c r="D59" s="72" t="inlineStr">
        <is>
          <t xml:space="preserve">Printing </t>
        </is>
      </c>
      <c r="E59" s="49" t="inlineStr">
        <is>
          <t>Does print functionality work correctly including for: 
- Font style and size
- Page alignment 
- Page graphics 
- Page fits to the paper size 
- Print preview</t>
        </is>
      </c>
      <c r="F59" s="106" t="inlineStr">
        <is>
          <t>Pass</t>
        </is>
      </c>
      <c r="G59" s="102" t="inlineStr">
        <is>
          <t>Checked the print view at A4 size. Text, fonts and the mastery bars all fit on the page and nothing was cut off.</t>
        </is>
      </c>
      <c r="H59" s="102" t="n"/>
      <c r="I59" s="105" t="n"/>
      <c r="J59" s="105" t="n"/>
      <c r="K59" s="102" t="inlineStr">
        <is>
          <t>Compatibility Testing Evidence/safari-print-preview.png</t>
        </is>
      </c>
      <c r="L59" s="104" t="n">
        <v>3.62</v>
      </c>
    </row>
    <row r="60">
      <c r="B60" s="21" t="n"/>
      <c r="C60" s="30" t="n"/>
      <c r="D60" s="30" t="n"/>
      <c r="E60" s="31" t="n"/>
      <c r="F60" s="32" t="n"/>
      <c r="G60" s="32" t="n"/>
      <c r="H60" s="32" t="n"/>
      <c r="I60" s="32" t="n"/>
      <c r="J60" s="32" t="n"/>
      <c r="K60" s="32" t="n"/>
      <c r="L60" s="24" t="n"/>
    </row>
    <row r="61">
      <c r="B61" s="21" t="n"/>
      <c r="C61" s="33" t="n"/>
      <c r="E61" s="34" t="n"/>
      <c r="F61" s="35" t="n"/>
      <c r="G61" s="35" t="n"/>
      <c r="H61" s="35" t="n"/>
      <c r="I61" s="35" t="n"/>
      <c r="J61" s="35" t="n"/>
      <c r="K61" s="35" t="n"/>
      <c r="L61" s="24" t="n"/>
    </row>
    <row r="62" ht="13.3" customHeight="1" thickBot="1">
      <c r="B62" s="36" t="n"/>
      <c r="C62" s="37" t="inlineStr">
        <is>
          <t xml:space="preserve">© Planit </t>
        </is>
      </c>
      <c r="D62" s="38" t="n"/>
      <c r="E62" s="38" t="n"/>
      <c r="F62" s="39" t="n"/>
      <c r="G62" s="39" t="n"/>
      <c r="H62" s="39" t="n"/>
      <c r="I62" s="39" t="n"/>
      <c r="J62" s="39" t="n"/>
      <c r="K62" s="39" t="n"/>
      <c r="L62" s="29" t="n"/>
    </row>
    <row r="63">
      <c r="G63" s="10" t="n"/>
      <c r="H63" s="10" t="n"/>
      <c r="K63" s="10" t="n"/>
    </row>
    <row r="64">
      <c r="C64" s="11" t="n"/>
      <c r="D64" s="108" t="inlineStr">
        <is>
          <t>Test Metrics</t>
        </is>
      </c>
      <c r="G64" s="10" t="n"/>
      <c r="H64" s="10" t="n"/>
      <c r="K64" s="10" t="n"/>
    </row>
    <row r="65">
      <c r="C65" s="13" t="n"/>
      <c r="D65" s="14" t="n"/>
      <c r="E65" s="109" t="inlineStr">
        <is>
          <t>Total checks in the checklist</t>
        </is>
      </c>
      <c r="F65" s="110">
        <f>COUNTA(C13:C59)</f>
        <v>47.0</v>
      </c>
      <c r="G65" s="10" t="n"/>
      <c r="H65" s="10" t="n"/>
      <c r="K65" s="10" t="n"/>
    </row>
    <row r="66">
      <c r="C66" s="13" t="n"/>
      <c r="D66" s="14" t="n"/>
      <c r="E66" s="109" t="inlineStr">
        <is>
          <t>Tests executed (Pass + Fail)</t>
        </is>
      </c>
      <c r="F66" s="110">
        <f>COUNTIF(F13:F59,"Pass")+COUNTIF(F13:F59,"Fail")</f>
        <v>21.0</v>
      </c>
    </row>
    <row r="67">
      <c r="C67" s="13" t="n"/>
      <c r="D67" s="14" t="n"/>
      <c r="E67" s="109" t="inlineStr">
        <is>
          <t>Passed</t>
        </is>
      </c>
      <c r="F67" s="110">
        <f>COUNTIF(F13:F59,"Pass")</f>
        <v>21.0</v>
      </c>
    </row>
    <row r="68">
      <c r="C68" s="11" t="n"/>
      <c r="D68" s="12" t="n"/>
      <c r="E68" s="109" t="inlineStr">
        <is>
          <t>Failed</t>
        </is>
      </c>
      <c r="F68" s="110">
        <f>COUNTIF(F13:F59,"Fail")</f>
        <v>0.0</v>
      </c>
    </row>
    <row r="69">
      <c r="C69" s="11" t="n"/>
      <c r="D69" s="12" t="n"/>
      <c r="E69" s="109" t="inlineStr">
        <is>
          <t>Not run</t>
        </is>
      </c>
      <c r="F69" s="110">
        <f>COUNTIF(F13:F59,"Not run")</f>
        <v>1.0</v>
      </c>
    </row>
    <row r="70">
      <c r="E70" s="109" t="inlineStr">
        <is>
          <t>Not applicable</t>
        </is>
      </c>
      <c r="F70" s="110">
        <f>COUNTIF(F13:F59,"Not applicable")</f>
        <v>25.0</v>
      </c>
    </row>
    <row r="71">
      <c r="E71" s="109" t="inlineStr">
        <is>
          <t>Total time taken to execute the tests (sec)</t>
        </is>
      </c>
      <c r="F71" s="111">
        <f>SUM(L13:L59)</f>
        <v>70.98</v>
      </c>
    </row>
    <row r="72">
      <c r="E72" s="109" t="inlineStr">
        <is>
          <t>Average time taken per test (sec)</t>
        </is>
      </c>
      <c r="F72" s="111">
        <f>IFERROR(F71/F66,0)</f>
        <v>3.3800000000000003</v>
      </c>
    </row>
    <row r="73">
      <c r="E73" s="109" t="inlineStr">
        <is>
          <t>Pass rate</t>
        </is>
      </c>
      <c r="F73" s="112">
        <f>IFERROR(F67/F66,0)</f>
        <v>1.0</v>
      </c>
    </row>
    <row r="74">
      <c r="E74" s="109" t="inlineStr">
        <is>
          <t>Failure rate</t>
        </is>
      </c>
      <c r="F74" s="112">
        <f>IFERROR(F68/F66,0)</f>
        <v>0.0</v>
      </c>
    </row>
    <row r="75">
      <c r="E75" s="113" t="inlineStr">
        <is>
          <t>Pass rate = Passed ÷ Tests executed. "Not applicable" and "Not run" tests are not counted in the rates or the average.</t>
        </is>
      </c>
    </row>
  </sheetData>
  <conditionalFormatting sqref="F13:K59">
    <cfRule type="cellIs" priority="1" operator="equal" dxfId="5" stopIfTrue="1">
      <formula>RiskAccepted</formula>
    </cfRule>
    <cfRule type="cellIs" priority="2" operator="equal" dxfId="4" stopIfTrue="1">
      <formula>Conforming</formula>
    </cfRule>
    <cfRule type="cellIs" priority="3" operator="equal" dxfId="3" stopIfTrue="1">
      <formula>NotConforming</formula>
    </cfRule>
    <cfRule type="cellIs" priority="4" operator="equal" dxfId="2" stopIfTrue="1">
      <formula>OutOfScope</formula>
    </cfRule>
  </conditionalFormatting>
  <conditionalFormatting sqref="I13:J58">
    <cfRule type="colorScale" priority="71">
      <colorScale>
        <cfvo type="min"/>
        <cfvo type="max"/>
        <color rgb="FFFF7128"/>
        <color rgb="FFFFEF9C"/>
      </colorScale>
    </cfRule>
  </conditionalFormatting>
  <conditionalFormatting sqref="I59:J59">
    <cfRule type="colorScale" priority="7">
      <colorScale>
        <cfvo type="min"/>
        <cfvo type="max"/>
        <color rgb="FFFF7128"/>
        <color rgb="FFFFEF9C"/>
      </colorScale>
    </cfRule>
  </conditionalFormatting>
  <conditionalFormatting sqref="I13:K59">
    <cfRule type="cellIs" priority="31" operator="equal" dxfId="1">
      <formula>"Major"</formula>
    </cfRule>
    <cfRule type="cellIs" priority="32" operator="equal" dxfId="0">
      <formula>"Minor"</formula>
    </cfRule>
  </conditionalFormatting>
  <conditionalFormatting sqref="F13:F59">
    <cfRule type="cellIs" priority="9" operator="equal" dxfId="6">
      <formula>"Pass"</formula>
    </cfRule>
    <cfRule type="cellIs" priority="10" operator="equal" dxfId="7">
      <formula>"Fail"</formula>
    </cfRule>
  </conditionalFormatting>
  <dataValidations count="2">
    <dataValidation sqref="F13:F59" showDropDown="0" showInputMessage="0" showErrorMessage="0" allowBlank="1" type="list">
      <formula1>Status</formula1>
    </dataValidation>
    <dataValidation sqref="I13:I59" showDropDown="0" showInputMessage="0" showErrorMessage="0" allowBlank="1" type="list">
      <formula1>Variables!$D$2:$D$3</formula1>
    </dataValidation>
  </dataValidations>
  <pageMargins left="0.2362204724409449" right="0.2362204724409449" top="0.7480314960629921" bottom="0.7480314960629921" header="0.3149606299212598" footer="0.3149606299212598"/>
  <pageSetup orientation="landscape" paperSize="9"/>
  <drawing xmlns:r="http://schemas.openxmlformats.org/officeDocument/2006/relationships" r:id="rId1"/>
</worksheet>
</file>

<file path=xl/worksheets/sheet5.xml><?xml version="1.0" encoding="utf-8"?>
<worksheet xmlns="http://schemas.openxmlformats.org/spreadsheetml/2006/main">
  <sheetPr codeName="Sheet1">
    <tabColor theme="7" tint="0.3999755851924192"/>
    <outlinePr summaryBelow="1" summaryRight="1"/>
    <pageSetUpPr/>
  </sheetPr>
  <dimension ref="A2:M75"/>
  <sheetViews>
    <sheetView showGridLines="0" workbookViewId="0">
      <pane ySplit="12" topLeftCell="A13" activePane="bottomLeft" state="frozen"/>
      <selection pane="bottomLeft" activeCell="A1" sqref="A1"/>
    </sheetView>
  </sheetViews>
  <sheetFormatPr baseColWidth="8" defaultColWidth="9.09765625" defaultRowHeight="12.75" customHeight="1"/>
  <cols>
    <col width="2.8984375" customWidth="1" style="6" min="1" max="1"/>
    <col width="4.296875" customWidth="1" style="6" min="2" max="2"/>
    <col width="7.59765625" customWidth="1" style="7" min="3" max="3"/>
    <col width="21.8984375" customWidth="1" style="8" min="4" max="4"/>
    <col width="72" customWidth="1" style="9" min="5" max="5"/>
    <col width="14.59765625" bestFit="1" customWidth="1" style="6" min="6" max="6"/>
    <col width="24.59765625" customWidth="1" style="6" min="7" max="7"/>
    <col width="18.19921875" customWidth="1" style="6" min="8" max="8"/>
    <col width="19.3984375" bestFit="1" customWidth="1" style="6" min="9" max="9"/>
    <col width="19.3984375" customWidth="1" style="6" min="10" max="10"/>
    <col width="25" customWidth="1" style="6" min="11" max="11"/>
    <col width="16" customWidth="1" style="6" min="12" max="12"/>
    <col width="3.296875" customWidth="1" style="6" min="13" max="13"/>
    <col width="9.09765625" customWidth="1" style="3" min="14" max="16384"/>
  </cols>
  <sheetData>
    <row r="1" ht="13.3" customHeight="1" thickBot="1"/>
    <row r="2">
      <c r="B2" s="15" t="n"/>
      <c r="C2" s="16" t="n"/>
      <c r="D2" s="17" t="n"/>
      <c r="E2" s="18" t="n"/>
      <c r="F2" s="19" t="n"/>
      <c r="G2" s="19" t="n"/>
      <c r="H2" s="19" t="n"/>
      <c r="I2" s="19" t="n"/>
      <c r="J2" s="19" t="n"/>
      <c r="K2" s="19" t="n"/>
      <c r="L2" s="20" t="n"/>
    </row>
    <row r="3" ht="25.5" customHeight="1">
      <c r="B3" s="21" t="n"/>
      <c r="C3" s="22" t="inlineStr">
        <is>
          <t>Compatibility Testing Checklist</t>
        </is>
      </c>
      <c r="E3" s="23" t="n"/>
      <c r="F3" s="23" t="n"/>
      <c r="G3" s="23" t="n"/>
      <c r="H3" s="23" t="n"/>
      <c r="I3" s="23" t="n"/>
      <c r="J3" s="23" t="n"/>
      <c r="K3" s="23" t="n"/>
      <c r="L3" s="24" t="n"/>
    </row>
    <row r="4">
      <c r="B4" s="21" t="n"/>
      <c r="L4" s="24" t="n"/>
    </row>
    <row r="5">
      <c r="B5" s="21" t="n"/>
      <c r="C5" s="3" t="n"/>
      <c r="D5" s="55" t="inlineStr">
        <is>
          <t xml:space="preserve">Test object: </t>
        </is>
      </c>
      <c r="E5" s="98" t="inlineStr">
        <is>
          <t>Learning Journey Assistant (https://learning-journey-app.onrender.com)</t>
        </is>
      </c>
      <c r="F5" s="57" t="inlineStr">
        <is>
          <t xml:space="preserve">Name of the system being tested </t>
        </is>
      </c>
      <c r="L5" s="24" t="n"/>
    </row>
    <row r="6" ht="26" customHeight="1">
      <c r="B6" s="21" t="n"/>
      <c r="C6" s="3" t="n"/>
      <c r="D6" s="55" t="inlineStr">
        <is>
          <t>Test basis:</t>
        </is>
      </c>
      <c r="E6" s="98" t="inlineStr">
        <is>
          <t>User stories: a student logs in and views their mastery scores, knowledge gaps, feedback history and AI study plan. Also past experience with similar web apps.</t>
        </is>
      </c>
      <c r="F6" s="57" t="inlineStr">
        <is>
          <t>What test design is based on - for example, requirements, epics, user stories, or past experience with similar systems</t>
        </is>
      </c>
      <c r="L6" s="24" t="n"/>
    </row>
    <row r="7">
      <c r="B7" s="21" t="n"/>
      <c r="C7" s="3" t="n"/>
      <c r="D7" s="55" t="inlineStr">
        <is>
          <t>Page name:</t>
        </is>
      </c>
      <c r="E7" s="98" t="inlineStr">
        <is>
          <t>Login page and Student Dashboard</t>
        </is>
      </c>
      <c r="F7" s="57" t="inlineStr">
        <is>
          <t>Name of the page or tab being tested</t>
        </is>
      </c>
      <c r="L7" s="24" t="n"/>
    </row>
    <row r="8" ht="26" customHeight="1">
      <c r="B8" s="21" t="n"/>
      <c r="C8" s="3" t="n"/>
      <c r="D8" s="55" t="inlineStr">
        <is>
          <t>Environment details:</t>
        </is>
      </c>
      <c r="E8" s="98" t="inlineStr">
        <is>
          <t>Apple iPhone 13 emulator (iOS Safari, WebKit 26.6) on macOS, screen 390x664, touch on. Tests run with a Playwright automation script.</t>
        </is>
      </c>
      <c r="F8" s="57" t="inlineStr">
        <is>
          <t>Describe the test environment - e.g. Apple iPhone X running iOS Y, Edge browser version aa.bb</t>
        </is>
      </c>
      <c r="L8" s="24" t="n"/>
    </row>
    <row r="9">
      <c r="B9" s="21" t="n"/>
      <c r="C9" s="3" t="n"/>
      <c r="D9" s="55" t="inlineStr">
        <is>
          <t>Tester name:</t>
        </is>
      </c>
      <c r="E9" s="98" t="inlineStr">
        <is>
          <t>Ritik Rayamajhi</t>
        </is>
      </c>
      <c r="F9" s="57" t="inlineStr">
        <is>
          <t>Name of the person performing the testing</t>
        </is>
      </c>
      <c r="L9" s="24" t="n"/>
    </row>
    <row r="10">
      <c r="B10" s="21" t="n"/>
      <c r="C10" s="3" t="n"/>
      <c r="D10" s="55" t="inlineStr">
        <is>
          <t>Date tested:</t>
        </is>
      </c>
      <c r="E10" s="99" t="n">
        <v>46300</v>
      </c>
      <c r="F10" s="57" t="inlineStr">
        <is>
          <t>Date tests were run on</t>
        </is>
      </c>
      <c r="L10" s="24" t="n"/>
    </row>
    <row r="11">
      <c r="B11" s="21" t="n"/>
      <c r="L11" s="24" t="n"/>
    </row>
    <row r="12" ht="25.5" customFormat="1" customHeight="1" s="4">
      <c r="A12" s="26" t="n"/>
      <c r="B12" s="21" t="n"/>
      <c r="C12" s="66" t="inlineStr">
        <is>
          <t>ID</t>
        </is>
      </c>
      <c r="D12" s="67" t="inlineStr">
        <is>
          <t>Perspective</t>
        </is>
      </c>
      <c r="E12" s="68" t="inlineStr">
        <is>
          <t>Checklist</t>
        </is>
      </c>
      <c r="F12" s="68" t="inlineStr">
        <is>
          <t>Result</t>
        </is>
      </c>
      <c r="G12" s="69" t="inlineStr">
        <is>
          <t>Comments</t>
        </is>
      </c>
      <c r="H12" s="69" t="inlineStr">
        <is>
          <t>Defect ID</t>
        </is>
      </c>
      <c r="I12" s="70" t="inlineStr">
        <is>
          <t>Defect Severity</t>
        </is>
      </c>
      <c r="J12" s="70" t="inlineStr">
        <is>
          <t>Defect Details</t>
        </is>
      </c>
      <c r="K12" s="69" t="inlineStr">
        <is>
          <t>Test Evidence</t>
        </is>
      </c>
      <c r="L12" s="69" t="inlineStr">
        <is>
          <t>Time Taken (sec)</t>
        </is>
      </c>
      <c r="M12" s="26" t="n"/>
    </row>
    <row r="13" ht="67" customHeight="1">
      <c r="B13" s="21" t="n"/>
      <c r="C13" s="65" t="n">
        <v>1</v>
      </c>
      <c r="D13" s="71" t="inlineStr">
        <is>
          <t>Page structure</t>
        </is>
      </c>
      <c r="E13" s="41" t="inlineStr">
        <is>
          <t>Has the correct page template, style sheet and/or structure been used, matching company and project requirements?</t>
        </is>
      </c>
      <c r="F13" s="100" t="inlineStr">
        <is>
          <t>Pass</t>
        </is>
      </c>
      <c r="G13" s="101" t="inlineStr">
        <is>
          <t>Both pages (login and dashboard) use the same layout: logo at the top, white rounded cards on a light grey background.</t>
        </is>
      </c>
      <c r="H13" s="102" t="n"/>
      <c r="I13" s="103" t="n"/>
      <c r="J13" s="77" t="n"/>
      <c r="K13" s="102" t="inlineStr">
        <is>
          <t>Compatibility Testing Evidence/iphone-dashboard.png</t>
        </is>
      </c>
      <c r="L13" s="104" t="n">
        <v>3.89</v>
      </c>
    </row>
    <row r="14" ht="80" customHeight="1">
      <c r="B14" s="21" t="n"/>
      <c r="C14" s="65" t="n">
        <v>2</v>
      </c>
      <c r="D14" s="71" t="inlineStr">
        <is>
          <t>Page structure</t>
        </is>
      </c>
      <c r="E14" s="45" t="inlineStr">
        <is>
          <t xml:space="preserve">Do page colours and fonts match company branding? </t>
        </is>
      </c>
      <c r="F14" s="100" t="inlineStr">
        <is>
          <t>Pass</t>
        </is>
      </c>
      <c r="G14" s="102" t="inlineStr">
        <is>
          <t>We don't have an official brand guide, so I checked the purple colour is the same on all buttons and the logo on both pages. It matched.</t>
        </is>
      </c>
      <c r="H14" s="102" t="n"/>
      <c r="I14" s="105" t="n"/>
      <c r="J14" s="105" t="n"/>
      <c r="K14" s="102" t="n"/>
      <c r="L14" s="104" t="n">
        <v>4.25</v>
      </c>
    </row>
    <row r="15" ht="54" customHeight="1">
      <c r="B15" s="21" t="n"/>
      <c r="C15" s="65" t="n">
        <v>3</v>
      </c>
      <c r="D15" s="71" t="inlineStr">
        <is>
          <t>Page structure</t>
        </is>
      </c>
      <c r="E15" s="45" t="inlineStr">
        <is>
          <t>Does the page description (e.g. in the title bar or tab) correctly reflect the page content?</t>
        </is>
      </c>
      <c r="F15" s="100" t="inlineStr">
        <is>
          <t>Pass</t>
        </is>
      </c>
      <c r="G15" s="102" t="inlineStr">
        <is>
          <t>The tab title says "Learning Journey Assistant" on both pages, which matches the app name.</t>
        </is>
      </c>
      <c r="H15" s="102" t="n"/>
      <c r="I15" s="105" t="n"/>
      <c r="J15" s="105" t="n"/>
      <c r="K15" s="102" t="n"/>
      <c r="L15" s="104" t="n">
        <v>4.74</v>
      </c>
    </row>
    <row r="16" ht="119" customHeight="1">
      <c r="B16" s="21" t="n"/>
      <c r="C16" s="65" t="n">
        <v>4</v>
      </c>
      <c r="D16" s="71" t="inlineStr">
        <is>
          <t>Page structure</t>
        </is>
      </c>
      <c r="E16" s="45" t="inlineStr">
        <is>
          <t xml:space="preserve">Have correct and consistent fonts, text sizes and text positions been used, including: 
- Header 
- Menu bar 
- Body/content 
- Input and output fields
- Buttons (e.g. Next/Previous, Submit/Cancel etc.) 
- Footer </t>
        </is>
      </c>
      <c r="F16" s="100" t="inlineStr">
        <is>
          <t>Pass</t>
        </is>
      </c>
      <c r="G16" s="102" t="inlineStr">
        <is>
          <t>Header, body text, dropdown, password box and buttons all use the same font (Geist). Headings are bigger and bold, body text is smaller. Nothing overlapped. (No menu bar or footer in our app.)</t>
        </is>
      </c>
      <c r="H16" s="102" t="n"/>
      <c r="I16" s="105" t="n"/>
      <c r="J16" s="105" t="n"/>
      <c r="K16" s="102" t="n"/>
      <c r="L16" s="104" t="n">
        <v>4.19</v>
      </c>
    </row>
    <row r="17" ht="67.59999999999999" customHeight="1">
      <c r="B17" s="21" t="n"/>
      <c r="C17" s="65" t="n">
        <v>5</v>
      </c>
      <c r="D17" s="71" t="inlineStr">
        <is>
          <t>Page structure</t>
        </is>
      </c>
      <c r="E17" s="45" t="inlineStr">
        <is>
          <t>Does the page display correctly across different screen resolutions, including:
- High definition (HD) 
- Recommended display setting (on computer)
- Lowest display setting (on computer)
- Devices (e.g. mobile, tablet, watch)</t>
        </is>
      </c>
      <c r="F17" s="100" t="inlineStr">
        <is>
          <t>Pass</t>
        </is>
      </c>
      <c r="G17" s="102" t="inlineStr">
        <is>
          <t>Checked the dashboard in portrait (390x664) and landscape (664x390). It fit the screen both ways.</t>
        </is>
      </c>
      <c r="H17" s="102" t="n"/>
      <c r="I17" s="105" t="n"/>
      <c r="J17" s="105" t="n"/>
      <c r="K17" s="102" t="inlineStr">
        <is>
          <t>Compatibility Testing Evidence/iphone-resolution-small.png</t>
        </is>
      </c>
      <c r="L17" s="104" t="n">
        <v>3.74</v>
      </c>
    </row>
    <row r="18" ht="67" customHeight="1">
      <c r="B18" s="21" t="n"/>
      <c r="C18" s="65" t="n">
        <v>6</v>
      </c>
      <c r="D18" s="71" t="inlineStr">
        <is>
          <t>Page structure</t>
        </is>
      </c>
      <c r="E18" s="45" t="inlineStr">
        <is>
          <t>Does the page scroll smoothly without lagging?</t>
        </is>
      </c>
      <c r="F18" s="100" t="inlineStr">
        <is>
          <t>Pass</t>
        </is>
      </c>
      <c r="G18" s="102" t="inlineStr">
        <is>
          <t>Scrolled from the top to the bottom of the dashboard. It was smooth with no lag (about 62 frames per second).</t>
        </is>
      </c>
      <c r="H18" s="102" t="n"/>
      <c r="I18" s="105" t="n"/>
      <c r="J18" s="105" t="n"/>
      <c r="K18" s="102" t="n"/>
      <c r="L18" s="104" t="n">
        <v>4.3</v>
      </c>
    </row>
    <row r="19" ht="67" customHeight="1">
      <c r="B19" s="21" t="n"/>
      <c r="C19" s="65" t="n">
        <v>7</v>
      </c>
      <c r="D19" s="71" t="inlineStr">
        <is>
          <t>Page structure</t>
        </is>
      </c>
      <c r="E19" s="45" t="inlineStr">
        <is>
          <t>Is the page content viewable without the need for a horizontal scroll bar? (horizontal scrolling is generally not recommended/preferred)</t>
        </is>
      </c>
      <c r="F19" s="100" t="inlineStr">
        <is>
          <t>Pass</t>
        </is>
      </c>
      <c r="G19" s="102" t="inlineStr">
        <is>
          <t>No horizontal scroll bar on the login page or the dashboard. Everything fits the width of the screen.</t>
        </is>
      </c>
      <c r="H19" s="102" t="n"/>
      <c r="I19" s="105" t="n"/>
      <c r="J19" s="105" t="n"/>
      <c r="K19" s="102" t="n"/>
      <c r="L19" s="104" t="n">
        <v>4.16</v>
      </c>
    </row>
    <row r="20" ht="93" customHeight="1">
      <c r="B20" s="21" t="n"/>
      <c r="C20" s="65" t="n">
        <v>8</v>
      </c>
      <c r="D20" s="71" t="inlineStr">
        <is>
          <t>Page structure</t>
        </is>
      </c>
      <c r="E20" s="45" t="inlineStr">
        <is>
          <t>Do menus function correctly when opened, traversed and activated/clicked, including: 
- Hamburger menu
- Expandable menus
- Collapsible menus
- Drop down "more information" menus (usually available via an ellipsis …)</t>
        </is>
      </c>
      <c r="F20" s="106" t="inlineStr">
        <is>
          <t>Pass</t>
        </is>
      </c>
      <c r="G20" s="102" t="inlineStr">
        <is>
          <t>Our app has no hamburger or expandable menus. The only menu is the student dropdown on the login page - I picked all 5 students one by one and each one got selected.</t>
        </is>
      </c>
      <c r="H20" s="102" t="n"/>
      <c r="I20" s="105" t="n"/>
      <c r="J20" s="105" t="n"/>
      <c r="K20" s="102" t="n"/>
      <c r="L20" s="104" t="n">
        <v>0.93</v>
      </c>
    </row>
    <row r="21" ht="119" customHeight="1">
      <c r="B21" s="21" t="n"/>
      <c r="C21" s="65" t="n">
        <v>9</v>
      </c>
      <c r="D21" s="71" t="inlineStr">
        <is>
          <t>Page structure</t>
        </is>
      </c>
      <c r="E21" s="45" t="inlineStr">
        <is>
          <t>Does the page view correctly when using zoom in and out?</t>
        </is>
      </c>
      <c r="F21" s="106" t="inlineStr">
        <is>
          <t>Pass</t>
        </is>
      </c>
      <c r="G21" s="102" t="inlineStr">
        <is>
          <t>Zoomed in to 200% and out to 50%. The text and bars resized properly and nothing went off the screen. (This failed in my first test run - see DEF-03. After the fix I retested it and it passed.)</t>
        </is>
      </c>
      <c r="H21" s="102" t="inlineStr">
        <is>
          <t>DEF-03</t>
        </is>
      </c>
      <c r="I21" s="105" t="inlineStr">
        <is>
          <t>Minor</t>
        </is>
      </c>
      <c r="J21" s="105" t="inlineStr">
        <is>
          <t>On iPhone at 200% page zoom (very narrow screen, ~195px), the score labels in 'Mastery by learning outcome' overflow the right edge and cause sideways scrolling. Fix: let the label wrap under the outcome text on very small screens. Fixed: text and score labels now wrap on very narrow screens. Retested 05/10/2026: Pass.</t>
        </is>
      </c>
      <c r="K21" s="102" t="inlineStr">
        <is>
          <t>After fix: Compatibility Testing Evidence/iphone-zoom-200.png
Before fix: Compatibility Testing Evidence/first-run/iphone-zoom-200.png</t>
        </is>
      </c>
      <c r="L21" s="104" t="n">
        <v>4.25</v>
      </c>
    </row>
    <row r="22" ht="119" customHeight="1">
      <c r="B22" s="21" t="n"/>
      <c r="C22" s="65" t="n">
        <v>10</v>
      </c>
      <c r="D22" s="71" t="inlineStr">
        <is>
          <t>Page structure</t>
        </is>
      </c>
      <c r="E22" s="45" t="inlineStr">
        <is>
          <t>When JavaScript is turned off, do understandable error messages appear explaining that JavaScript must be enabled to display required content, without any scripts being displayed to on the screen?</t>
        </is>
      </c>
      <c r="F22" s="106" t="inlineStr">
        <is>
          <t>Pass</t>
        </is>
      </c>
      <c r="G22" s="102" t="inlineStr">
        <is>
          <t>With JavaScript off the page shows: "Learning Journey Assistant
Please enable JavaScript in your browser to use this" (This failed in my first test run - see DEF-01. After the fix I retested it and it passed.)</t>
        </is>
      </c>
      <c r="H22" s="102" t="inlineStr">
        <is>
          <t>DEF-01</t>
        </is>
      </c>
      <c r="I22" s="105" t="inlineStr">
        <is>
          <t>Minor</t>
        </is>
      </c>
      <c r="J22" s="105" t="inlineStr">
        <is>
          <t>With JavaScript disabled the app shows a blank white page and no message. Expected: a message like "Please enable JavaScript to use this app" (e.g. a &lt;noscript&gt; tag in layout.tsx). Fixed: added a message telling users to turn on JavaScript. Retested 05/10/2026: Pass.</t>
        </is>
      </c>
      <c r="K22" s="102" t="inlineStr">
        <is>
          <t>After fix: Compatibility Testing Evidence/iphone-javascript-off.png
Before fix: Compatibility Testing Evidence/first-run/iphone-javascript-off.png</t>
        </is>
      </c>
      <c r="L22" s="104" t="n">
        <v>1.71</v>
      </c>
    </row>
    <row r="23" ht="101.95" customHeight="1">
      <c r="B23" s="21" t="n"/>
      <c r="C23" s="65" t="n">
        <v>11</v>
      </c>
      <c r="D23" s="54" t="inlineStr">
        <is>
          <t>Images</t>
        </is>
      </c>
      <c r="E23" s="45" t="inlineStr">
        <is>
          <t>Are images displayed correctly, including: 
- Position on the page (alignment, not overlapping fields, content or edge of screen)
- Rendering 
- Resolution
- Background (e.g. transparent)
- Lazy loading (load on scroll)
- No distortion (i.e. correct aspect ratio)
- No broken links</t>
        </is>
      </c>
      <c r="F23" s="106" t="inlineStr">
        <is>
          <t>Not applicable</t>
        </is>
      </c>
      <c r="G23" s="102" t="inlineStr">
        <is>
          <t>Our pages don't have any images. The logo is just the letters "LJ" in a purple box (made with text, not an image).</t>
        </is>
      </c>
      <c r="H23" s="102" t="n"/>
      <c r="I23" s="105" t="n"/>
      <c r="J23" s="105" t="n"/>
      <c r="K23" s="102" t="n"/>
      <c r="L23" s="104" t="n"/>
    </row>
    <row r="24" ht="28" customHeight="1">
      <c r="B24" s="21" t="n"/>
      <c r="C24" s="65" t="n">
        <v>12</v>
      </c>
      <c r="D24" s="54" t="inlineStr">
        <is>
          <t>Images</t>
        </is>
      </c>
      <c r="E24" s="45" t="inlineStr">
        <is>
          <t>Are images suitable for the given content and context?</t>
        </is>
      </c>
      <c r="F24" s="106" t="inlineStr">
        <is>
          <t>Not applicable</t>
        </is>
      </c>
      <c r="G24" s="102" t="inlineStr">
        <is>
          <t>No images on the login page or dashboard.</t>
        </is>
      </c>
      <c r="H24" s="102" t="n"/>
      <c r="I24" s="105" t="n"/>
      <c r="J24" s="105" t="n"/>
      <c r="K24" s="102" t="n"/>
      <c r="L24" s="104" t="n"/>
    </row>
    <row r="25" ht="28" customHeight="1">
      <c r="B25" s="21" t="n"/>
      <c r="C25" s="65" t="n">
        <v>13</v>
      </c>
      <c r="D25" s="54" t="inlineStr">
        <is>
          <t>Images</t>
        </is>
      </c>
      <c r="E25" s="45" t="inlineStr">
        <is>
          <t xml:space="preserve">Do images include suitable alternative text? </t>
        </is>
      </c>
      <c r="F25" s="106" t="inlineStr">
        <is>
          <t>Not applicable</t>
        </is>
      </c>
      <c r="G25" s="102" t="inlineStr">
        <is>
          <t>No images, so there is no alt text to check.</t>
        </is>
      </c>
      <c r="H25" s="102" t="n"/>
      <c r="I25" s="105" t="n"/>
      <c r="J25" s="105" t="n"/>
      <c r="K25" s="102" t="n"/>
      <c r="L25" s="104" t="n"/>
    </row>
    <row r="26" ht="28" customHeight="1">
      <c r="B26" s="21" t="n"/>
      <c r="C26" s="65" t="n">
        <v>14</v>
      </c>
      <c r="D26" s="54" t="inlineStr">
        <is>
          <t>Images</t>
        </is>
      </c>
      <c r="E26" s="45" t="inlineStr">
        <is>
          <t>Do clickable images navigate to the correct location?</t>
        </is>
      </c>
      <c r="F26" s="106" t="inlineStr">
        <is>
          <t>Not applicable</t>
        </is>
      </c>
      <c r="G26" s="102" t="inlineStr">
        <is>
          <t>No clickable images in the app.</t>
        </is>
      </c>
      <c r="H26" s="102" t="n"/>
      <c r="I26" s="105" t="n"/>
      <c r="J26" s="105" t="n"/>
      <c r="K26" s="102" t="n"/>
      <c r="L26" s="104" t="n"/>
    </row>
    <row r="27" ht="41" customHeight="1">
      <c r="B27" s="21" t="n"/>
      <c r="C27" s="65" t="n">
        <v>15</v>
      </c>
      <c r="D27" s="54" t="inlineStr">
        <is>
          <t>Images</t>
        </is>
      </c>
      <c r="E27" s="45" t="inlineStr">
        <is>
          <t xml:space="preserve">Do images display correctly when screen is zoomed in and out? </t>
        </is>
      </c>
      <c r="F27" s="106" t="inlineStr">
        <is>
          <t>Not applicable</t>
        </is>
      </c>
      <c r="G27" s="102" t="inlineStr">
        <is>
          <t>No images. (Zoom for the rest of the page was checked in test 9.)</t>
        </is>
      </c>
      <c r="H27" s="102" t="n"/>
      <c r="I27" s="105" t="n"/>
      <c r="J27" s="105" t="n"/>
      <c r="K27" s="102" t="n"/>
      <c r="L27" s="104" t="n"/>
    </row>
    <row r="28" ht="28" customHeight="1">
      <c r="B28" s="21" t="n"/>
      <c r="C28" s="65" t="n">
        <v>16</v>
      </c>
      <c r="D28" s="54" t="inlineStr">
        <is>
          <t>Images</t>
        </is>
      </c>
      <c r="E28" s="45" t="inlineStr">
        <is>
          <t>Do animated behaviours display correctly (e.g. Giff)</t>
        </is>
      </c>
      <c r="F28" s="106" t="inlineStr">
        <is>
          <t>Not applicable</t>
        </is>
      </c>
      <c r="G28" s="102" t="inlineStr">
        <is>
          <t>No GIFs or animations in the app.</t>
        </is>
      </c>
      <c r="H28" s="102" t="n"/>
      <c r="I28" s="105" t="n"/>
      <c r="J28" s="105" t="n"/>
      <c r="K28" s="102" t="n"/>
      <c r="L28" s="104" t="n"/>
    </row>
    <row r="29" ht="28" customHeight="1">
      <c r="B29" s="21" t="n"/>
      <c r="C29" s="65" t="n">
        <v>17</v>
      </c>
      <c r="D29" s="72" t="inlineStr">
        <is>
          <t>Videos</t>
        </is>
      </c>
      <c r="E29" s="45" t="inlineStr">
        <is>
          <t xml:space="preserve">Are videos displayed, positioned and rendered correctly on the page, with the correct thumbnails? </t>
        </is>
      </c>
      <c r="F29" s="106" t="inlineStr">
        <is>
          <t>Not applicable</t>
        </is>
      </c>
      <c r="G29" s="102" t="inlineStr">
        <is>
          <t>The app doesn't have any videos.</t>
        </is>
      </c>
      <c r="H29" s="102" t="n"/>
      <c r="I29" s="105" t="n"/>
      <c r="J29" s="105" t="n"/>
      <c r="K29" s="102" t="n"/>
      <c r="L29" s="104" t="n"/>
    </row>
    <row r="30" ht="63.7" customHeight="1">
      <c r="B30" s="21" t="n"/>
      <c r="C30" s="65" t="n">
        <v>18</v>
      </c>
      <c r="D30" s="72" t="inlineStr">
        <is>
          <t>Videos</t>
        </is>
      </c>
      <c r="E30" s="45" t="inlineStr">
        <is>
          <t>Do videos play correctly, including (where required):
- Auto play
- Click to play 
- Tap to play
- Picture in picture (PiP)</t>
        </is>
      </c>
      <c r="F30" s="106" t="inlineStr">
        <is>
          <t>Not applicable</t>
        </is>
      </c>
      <c r="G30" s="102" t="inlineStr">
        <is>
          <t>The app doesn't have any videos.</t>
        </is>
      </c>
      <c r="H30" s="102" t="n"/>
      <c r="I30" s="105" t="n"/>
      <c r="J30" s="105" t="n"/>
      <c r="K30" s="102" t="n"/>
      <c r="L30" s="104" t="n"/>
    </row>
    <row r="31" ht="28" customHeight="1">
      <c r="B31" s="21" t="n"/>
      <c r="C31" s="65" t="n">
        <v>19</v>
      </c>
      <c r="D31" s="72" t="inlineStr">
        <is>
          <t>Videos</t>
        </is>
      </c>
      <c r="E31" s="45" t="inlineStr">
        <is>
          <t>Do videos display with the correct defaults (e.g. auto-play, display inline or full screen)</t>
        </is>
      </c>
      <c r="F31" s="106" t="inlineStr">
        <is>
          <t>Not applicable</t>
        </is>
      </c>
      <c r="G31" s="102" t="inlineStr">
        <is>
          <t>The app doesn't have any videos.</t>
        </is>
      </c>
      <c r="H31" s="102" t="n"/>
      <c r="I31" s="105" t="n"/>
      <c r="J31" s="105" t="n"/>
      <c r="K31" s="102" t="n"/>
      <c r="L31" s="104" t="n"/>
    </row>
    <row r="32" ht="50.95" customHeight="1">
      <c r="B32" s="21" t="n"/>
      <c r="C32" s="65" t="n">
        <v>20</v>
      </c>
      <c r="D32" s="72" t="inlineStr">
        <is>
          <t>Videos</t>
        </is>
      </c>
      <c r="E32" s="45" t="inlineStr">
        <is>
          <t>Do all videos display suitable captions, including:
- Captions that match the video content
- Language preferences
- Location on screen</t>
        </is>
      </c>
      <c r="F32" s="106" t="inlineStr">
        <is>
          <t>Not applicable</t>
        </is>
      </c>
      <c r="G32" s="102" t="inlineStr">
        <is>
          <t>The app doesn't have any videos.</t>
        </is>
      </c>
      <c r="H32" s="102" t="n"/>
      <c r="I32" s="105" t="n"/>
      <c r="J32" s="105" t="n"/>
      <c r="K32" s="102" t="n"/>
      <c r="L32" s="104" t="n"/>
    </row>
    <row r="33" ht="50.95" customHeight="1">
      <c r="B33" s="21" t="n"/>
      <c r="C33" s="65" t="n">
        <v>21</v>
      </c>
      <c r="D33" s="72" t="inlineStr">
        <is>
          <t>Videos</t>
        </is>
      </c>
      <c r="E33" s="45" t="inlineStr">
        <is>
          <t>Can videos be moved to:
- Full screen mode 
- Embedded/inline mode
- Press escape from full-screen mode to revert back to inline mode</t>
        </is>
      </c>
      <c r="F33" s="106" t="inlineStr">
        <is>
          <t>Not applicable</t>
        </is>
      </c>
      <c r="G33" s="102" t="inlineStr">
        <is>
          <t>The app doesn't have any videos.</t>
        </is>
      </c>
      <c r="H33" s="102" t="n"/>
      <c r="I33" s="105" t="n"/>
      <c r="J33" s="105" t="n"/>
      <c r="K33" s="102" t="n"/>
      <c r="L33" s="104" t="n"/>
    </row>
    <row r="34" ht="114.65" customHeight="1">
      <c r="B34" s="21" t="n"/>
      <c r="C34" s="65" t="n">
        <v>22</v>
      </c>
      <c r="D34" s="72" t="inlineStr">
        <is>
          <t>Videos</t>
        </is>
      </c>
      <c r="E34" s="45" t="inlineStr">
        <is>
          <t>Do video controls work, including: 
- Play, pause, stop
- Fast forward and rewind (including skip X seconds forward/back)
- Volume 
- Mute/unmute 
- Playback speed (e.g. 0.5x, 1.5x, 2x)
- Resume from last position 
- Download / long-press
- Streaming vs. offline view</t>
        </is>
      </c>
      <c r="F34" s="106" t="inlineStr">
        <is>
          <t>Not applicable</t>
        </is>
      </c>
      <c r="G34" s="102" t="inlineStr">
        <is>
          <t>The app doesn't have any videos.</t>
        </is>
      </c>
      <c r="H34" s="102" t="n"/>
      <c r="I34" s="105" t="n"/>
      <c r="J34" s="105" t="n"/>
      <c r="K34" s="102" t="n"/>
      <c r="L34" s="104" t="n"/>
    </row>
    <row r="35" ht="80" customHeight="1">
      <c r="B35" s="21" t="n"/>
      <c r="C35" s="65" t="n">
        <v>23</v>
      </c>
      <c r="D35" s="51" t="inlineStr">
        <is>
          <t>Forms</t>
        </is>
      </c>
      <c r="E35" s="41" t="inlineStr">
        <is>
          <t xml:space="preserve">Are all required fields visible on the form? </t>
        </is>
      </c>
      <c r="F35" s="106" t="inlineStr">
        <is>
          <t>Pass</t>
        </is>
      </c>
      <c r="G35" s="102" t="inlineStr">
        <is>
          <t>The login form shows both fields I need (Student dropdown and Password) and the Sign in button. All visible without scrolling.</t>
        </is>
      </c>
      <c r="H35" s="102" t="n"/>
      <c r="I35" s="105" t="n"/>
      <c r="J35" s="105" t="n"/>
      <c r="K35" s="102" t="inlineStr">
        <is>
          <t>Compatibility Testing Evidence/iphone-login.png</t>
        </is>
      </c>
      <c r="L35" s="104" t="n">
        <v>0.95</v>
      </c>
    </row>
    <row r="36" ht="178.35" customHeight="1">
      <c r="B36" s="21" t="n"/>
      <c r="C36" s="65" t="n">
        <v>24</v>
      </c>
      <c r="D36" s="52" t="inlineStr">
        <is>
          <t>Forms</t>
        </is>
      </c>
      <c r="E36" s="49" t="inlineStr">
        <is>
          <t>Are all form fields positioned within the boundaries of the form, and not overlapping or truncating, including:
- Labels
- Single line textboxes
- Multi-line textboxes
- Dropdown lists
- Radio buttons
- Checkboxes 
- Date pickers
- Tables 
- Grids 
- Menus and submenus 
- Images
- Drag and drop</t>
        </is>
      </c>
      <c r="F36" s="106" t="inlineStr">
        <is>
          <t>Pass</t>
        </is>
      </c>
      <c r="G36" s="102" t="inlineStr">
        <is>
          <t>Labels, the dropdown, the password box and the button all sit inside the white form box. Nothing overlaps or gets cut off.</t>
        </is>
      </c>
      <c r="H36" s="102" t="n"/>
      <c r="I36" s="105" t="n"/>
      <c r="J36" s="105" t="n"/>
      <c r="K36" s="102" t="n"/>
      <c r="L36" s="104" t="n">
        <v>0.92</v>
      </c>
    </row>
    <row r="37" ht="127.4" customHeight="1">
      <c r="B37" s="21" t="n"/>
      <c r="C37" s="65" t="n">
        <v>25</v>
      </c>
      <c r="D37" s="52" t="inlineStr">
        <is>
          <t>Forms</t>
        </is>
      </c>
      <c r="E37" s="49" t="inlineStr">
        <is>
          <t>Does tool tip text display correctly for each field, including:
- Single line textboxes
- Multi-line textboxes
- Dropdown lists
- Radio buttons
- Checkboxes 
- Date pickers
- Tables 
- Grids 
- Drag and drop</t>
        </is>
      </c>
      <c r="F37" s="106" t="inlineStr">
        <is>
          <t>Not applicable</t>
        </is>
      </c>
      <c r="G37" s="102" t="inlineStr">
        <is>
          <t>Our form fields don't have tooltips. Each field has a label above it instead ("Student", "Password").</t>
        </is>
      </c>
      <c r="H37" s="102" t="n"/>
      <c r="I37" s="105" t="n"/>
      <c r="J37" s="105" t="n"/>
      <c r="K37" s="102" t="n"/>
      <c r="L37" s="104" t="n"/>
    </row>
    <row r="38" ht="142.9" customHeight="1">
      <c r="B38" s="21" t="n"/>
      <c r="C38" s="65" t="n">
        <v>26</v>
      </c>
      <c r="D38" s="52" t="inlineStr">
        <is>
          <t>Forms</t>
        </is>
      </c>
      <c r="E38" s="49" t="inlineStr">
        <is>
          <t>Can data be input into each field correctly, including:
- Single line textboxes
- Multi-line textboxes
- Dropdown lists
- Radio buttons
- Checkboxes 
- Date pickers
- Tables 
- Grids 
- Drag and drop
- Copy/paste</t>
        </is>
      </c>
      <c r="F38" s="106" t="inlineStr">
        <is>
          <t>Pass</t>
        </is>
      </c>
      <c r="G38" s="102" t="inlineStr">
        <is>
          <t>Picked a student from the dropdown and typed letters, numbers and symbols in the password box. Both worked and the password showed as dots. (Didn't test copy/paste because browsers block copying out of password boxes.)</t>
        </is>
      </c>
      <c r="H38" s="102" t="n"/>
      <c r="I38" s="105" t="n"/>
      <c r="J38" s="105" t="n"/>
      <c r="K38" s="102" t="n"/>
      <c r="L38" s="104" t="n">
        <v>0.96</v>
      </c>
    </row>
    <row r="39" ht="106" customHeight="1">
      <c r="B39" s="21" t="n"/>
      <c r="C39" s="65" t="n">
        <v>27</v>
      </c>
      <c r="D39" s="52" t="inlineStr">
        <is>
          <t>Forms</t>
        </is>
      </c>
      <c r="E39" s="49" t="inlineStr">
        <is>
          <t xml:space="preserve">When invalid/negative data is input into a field: 
- Are understandable error messages displayed? 
- Are error messages displayed at the right time (e.g. when focus leaves the field, or on save)?
- Are error messages positioned in the correct location?
- Are error validation icons (e.g. ticks, crosses) displayed in the correct location, colour and format? </t>
        </is>
      </c>
      <c r="F39" s="106" t="inlineStr">
        <is>
          <t>Pass</t>
        </is>
      </c>
      <c r="G39" s="102" t="inlineStr">
        <is>
          <t>Empty password: the browser stopped me and said "Fill out this field". Wrong password: a red "Invalid credentials" message showed just above the Sign in button after I clicked it.</t>
        </is>
      </c>
      <c r="H39" s="102" t="n"/>
      <c r="I39" s="105" t="n"/>
      <c r="J39" s="105" t="n"/>
      <c r="K39" s="102" t="inlineStr">
        <is>
          <t>Compatibility Testing Evidence/iphone-invalid-login.png</t>
        </is>
      </c>
      <c r="L39" s="104" t="n">
        <v>2.36</v>
      </c>
    </row>
    <row r="40" ht="93" customHeight="1">
      <c r="B40" s="21" t="n"/>
      <c r="C40" s="65" t="n">
        <v>28</v>
      </c>
      <c r="D40" s="52" t="inlineStr">
        <is>
          <t>Forms</t>
        </is>
      </c>
      <c r="E40" s="49" t="inlineStr">
        <is>
          <t xml:space="preserve">When placeholder text is included in each form field, is the text: 
- Visible 
- Understandable
- Rendered in the correct colour (i.e. to differentiate from user inputs) </t>
        </is>
      </c>
      <c r="F40" s="106" t="inlineStr">
        <is>
          <t>Pass</t>
        </is>
      </c>
      <c r="G40" s="102" t="inlineStr">
        <is>
          <t>When the student list can't load, the Student box shows the placeholder "e.g. S001" in grey, so it looks different from real typed text. Easy to understand.</t>
        </is>
      </c>
      <c r="H40" s="102" t="n"/>
      <c r="I40" s="105" t="n"/>
      <c r="J40" s="105" t="n"/>
      <c r="K40" s="102" t="inlineStr">
        <is>
          <t>Compatibility Testing Evidence/iphone-placeholder.png</t>
        </is>
      </c>
      <c r="L40" s="104" t="n">
        <v>0.13</v>
      </c>
    </row>
    <row r="41" ht="80" customHeight="1">
      <c r="B41" s="21" t="n"/>
      <c r="C41" s="65" t="n">
        <v>29</v>
      </c>
      <c r="D41" s="52" t="inlineStr">
        <is>
          <t>Forms</t>
        </is>
      </c>
      <c r="E41" s="49" t="inlineStr">
        <is>
          <t>Do form fields auto-complete correctly, using data previously saved by the browser?</t>
        </is>
      </c>
      <c r="F41" s="106" t="inlineStr">
        <is>
          <t>Not run</t>
        </is>
      </c>
      <c r="G41" s="102" t="inlineStr">
        <is>
          <t>The password box is set up for autofill (autocomplete="current-password"), but the test browser has no saved passwords so I couldn't try it.</t>
        </is>
      </c>
      <c r="H41" s="102" t="n"/>
      <c r="I41" s="105" t="n"/>
      <c r="J41" s="105" t="n"/>
      <c r="K41" s="102" t="n"/>
      <c r="L41" s="104" t="n"/>
    </row>
    <row r="42" ht="184" customHeight="1">
      <c r="A42" s="21" t="n"/>
      <c r="B42" s="21" t="n"/>
      <c r="C42" s="65" t="n">
        <v>30</v>
      </c>
      <c r="D42" s="53" t="inlineStr">
        <is>
          <t>Forms</t>
        </is>
      </c>
      <c r="E42" s="45" t="inlineStr">
        <is>
          <t xml:space="preserve">When the user submits a form (e.g. by clicking Save, Submit or OK):
- Is a visual indicator displayed to indicate that the form is saving (e.g. spinning wheel or progress bar)?
- After the form is saved/submitted, does an appropriate success message appear?
- Is the success message in the correct location, format and colour? </t>
        </is>
      </c>
      <c r="F42" s="100" t="inlineStr">
        <is>
          <t>Pass</t>
        </is>
      </c>
      <c r="G42" s="102" t="inlineStr">
        <is>
          <t>Login form: the button changes to "Signing in…" while it works and then the dashboard opens with "Hi Chloe". "Generate my study plan" also shows "Generating..." and then my personalised study plan appears for each knowledge gap. (This failed in my first test run - see DEF-02. After the fix I retested it and it passed.)</t>
        </is>
      </c>
      <c r="H42" s="102" t="inlineStr">
        <is>
          <t>DEF-02</t>
        </is>
      </c>
      <c r="I42" s="105" t="inlineStr">
        <is>
          <t>Minor</t>
        </is>
      </c>
      <c r="J42" s="105" t="inlineStr">
        <is>
          <t>AI study plan can't be generated: the server returns an error because no GROQ_API_KEY is configured on Render. Same on every system. This is a configuration issue (missing setting), not a bug in the code. Fixed: GROQ_API_KEY added to the backend on Render. Retested 05/10/2026: Pass.</t>
        </is>
      </c>
      <c r="K42" s="102" t="inlineStr">
        <is>
          <t>After fix: Compatibility Testing Evidence/iphone-ai-study-plan.png
Before fix: Compatibility Testing Evidence/first-run/iphone-ai-study-plan-error.png</t>
        </is>
      </c>
      <c r="L42" s="104" t="n">
        <v>9.16</v>
      </c>
    </row>
    <row r="43" ht="89.2" customFormat="1" customHeight="1" s="5">
      <c r="A43" s="28" t="n"/>
      <c r="B43" s="21" t="n"/>
      <c r="C43" s="65" t="n">
        <v>31</v>
      </c>
      <c r="D43" s="73" t="inlineStr">
        <is>
          <t>Interactions</t>
        </is>
      </c>
      <c r="E43" s="45" t="inlineStr">
        <is>
          <t>Do mouse inputs work correctly, including:
- Hover over (e.g. display tool tip text)
- Right mouse button click 
- Left mouse button click 
- Scroll wheel 
- Programmable mouse buttons
- Any other mouse buttons</t>
        </is>
      </c>
      <c r="F43" s="100" t="inlineStr">
        <is>
          <t>Not applicable</t>
        </is>
      </c>
      <c r="G43" s="102" t="inlineStr">
        <is>
          <t>Phones don't use a mouse. Touch is tested in test 33.</t>
        </is>
      </c>
      <c r="H43" s="102" t="n"/>
      <c r="I43" s="77" t="n"/>
      <c r="J43" s="77" t="n"/>
      <c r="K43" s="102" t="n"/>
      <c r="L43" s="104" t="n"/>
      <c r="M43" s="28" t="n"/>
    </row>
    <row r="44" ht="101.95" customFormat="1" customHeight="1" s="5">
      <c r="A44" s="28" t="n"/>
      <c r="B44" s="21" t="n"/>
      <c r="C44" s="65" t="n">
        <v>32</v>
      </c>
      <c r="D44" s="73" t="inlineStr">
        <is>
          <t>Interactions</t>
        </is>
      </c>
      <c r="E44" s="45" t="inlineStr">
        <is>
          <t>Do keyboard inputs work correctly, including:
- Letters
- Numbers
- Symbols
- Function keys (F1 to F12)
- Control keys (e.g. escape, control, command (Apple Mac) alt, shift, tab, print screen, enter, shift lock, num lock, etc.)
- Navigation keys (arrow keys, home, end, page up, page down)</t>
        </is>
      </c>
      <c r="F44" s="100" t="inlineStr">
        <is>
          <t>Pass</t>
        </is>
      </c>
      <c r="G44" s="102" t="inlineStr">
        <is>
          <t>Typed letters, numbers and symbols in the password box with the keyboard, Backspace deleted them, and pressing Enter (Go) logged me in.</t>
        </is>
      </c>
      <c r="H44" s="102" t="n"/>
      <c r="I44" s="77" t="n"/>
      <c r="J44" s="77" t="n"/>
      <c r="K44" s="102" t="n"/>
      <c r="L44" s="104" t="n">
        <v>3.86</v>
      </c>
      <c r="M44" s="28" t="n"/>
    </row>
    <row r="45" ht="191.1" customFormat="1" customHeight="1" s="5">
      <c r="A45" s="28" t="n"/>
      <c r="B45" s="21" t="n"/>
      <c r="C45" s="65" t="n">
        <v>33</v>
      </c>
      <c r="D45" s="73" t="inlineStr">
        <is>
          <t>Interactions</t>
        </is>
      </c>
      <c r="E45" s="45" t="inlineStr">
        <is>
          <t>Do touchscreen and mobile inputs work correctly, including: 
- Tap
- Double tap
- Multi-touch
- Long press / tap-and-hold
- Swipe
- Scroll 
- Two-finger scroll
- Pinch (zoom in) and spread (zoom out)
- Rotate screen 
- Back navigation (e.g. back button or swipe)
- Forward navigation (e.g. swipe)
- System gestures (e.g. swipe up from bottom of screen)
- Stylus based input
- Voice input</t>
        </is>
      </c>
      <c r="F45" s="100" t="inlineStr">
        <is>
          <t>Pass</t>
        </is>
      </c>
      <c r="G45" s="102" t="inlineStr">
        <is>
          <t>Tap works on the password box, Sign in and Sign out buttons. The page scrolls and still fits after rotating the phone. Couldn't test pinch zoom, long press, stylus or voice on the emulator.</t>
        </is>
      </c>
      <c r="H45" s="102" t="n"/>
      <c r="I45" s="77" t="n"/>
      <c r="J45" s="77" t="n"/>
      <c r="K45" s="102" t="n"/>
      <c r="L45" s="104" t="n">
        <v>4.45</v>
      </c>
      <c r="M45" s="28" t="n"/>
    </row>
    <row r="46" ht="101.95" customFormat="1" customHeight="1" s="5">
      <c r="A46" s="28" t="n"/>
      <c r="B46" s="21" t="n"/>
      <c r="C46" s="65" t="n">
        <v>34</v>
      </c>
      <c r="D46" s="73" t="inlineStr">
        <is>
          <t>Interactions</t>
        </is>
      </c>
      <c r="E46" s="45" t="inlineStr">
        <is>
          <t>Do smartwatch inputs work correctly, including: 
- Tap
- Swipe
- Long press (including on text, links, images and video)
- Button press
- Double button press
- Hard press 
- Voice input</t>
        </is>
      </c>
      <c r="F46" s="100" t="inlineStr">
        <is>
          <t>Not applicable</t>
        </is>
      </c>
      <c r="G46" s="102" t="inlineStr">
        <is>
          <t>Our app isn't made for smartwatches.</t>
        </is>
      </c>
      <c r="H46" s="102" t="n"/>
      <c r="I46" s="77" t="n"/>
      <c r="J46" s="77" t="n"/>
      <c r="K46" s="102" t="n"/>
      <c r="L46" s="104" t="n"/>
      <c r="M46" s="28" t="n"/>
    </row>
    <row r="47" ht="331.2" customFormat="1" customHeight="1" s="5">
      <c r="A47" s="28" t="n"/>
      <c r="B47" s="21" t="n"/>
      <c r="C47" s="65" t="n">
        <v>35</v>
      </c>
      <c r="D47" s="73" t="inlineStr">
        <is>
          <t>Interactions</t>
        </is>
      </c>
      <c r="E47" s="45" t="inlineStr">
        <is>
          <t>Do joystick inputs work correctly, including: 
- Buttons
       * Primary buttons (e.g. A, B, X, Y)
       * Select/confirm button (enter equivalent)
       * Cancel/back (escape equivalent)
       * Context actions (e.g. shortcuts)
       * Shoulder/trigger buttons (L1, L2, R1, R2)
       * Paging (scroll between sections)
       * Secondary actions (e.g. zoom, rotate)
       * Start button
       * Menu button 
- Directions  
        * Up, down, left, right, diagonal (navigating menus, moving focus)
        * Continuous hold vs. single press (scroll vs. step)
- Analog behaviour
       * Dead zone testing (ensuring slight nudges do not move focus unintentionally)
       * Sensitivity testing (slow vs. fast movements)
       * Left and right sticks 
       * Circular movement 
- Gestures &amp; special inputs - e.g. 
       * Long press buttons 
       * Double-tap buttons 
       * Combination presses (e.g. L1 + R1 = action A)
- System inputs 
       * Home/dashboard button (does app handle pausing/losing focus gracefully?)
       * Power button interactions (suspend, resume)</t>
        </is>
      </c>
      <c r="F47" s="100" t="inlineStr">
        <is>
          <t>Not applicable</t>
        </is>
      </c>
      <c r="G47" s="102" t="inlineStr">
        <is>
          <t>Our app isn't made for game controllers / joysticks.</t>
        </is>
      </c>
      <c r="H47" s="102" t="n"/>
      <c r="I47" s="77" t="n"/>
      <c r="J47" s="77" t="n"/>
      <c r="K47" s="102" t="n"/>
      <c r="L47" s="104" t="n"/>
      <c r="M47" s="28" t="n"/>
    </row>
    <row r="48" ht="28" customHeight="1">
      <c r="B48" s="21" t="n"/>
      <c r="C48" s="65" t="n">
        <v>36</v>
      </c>
      <c r="D48" s="64" t="inlineStr">
        <is>
          <t>File download</t>
        </is>
      </c>
      <c r="E48" s="41" t="inlineStr">
        <is>
          <t>Can files be downloaded correctly, including all supported file types, and for max file sizes?</t>
        </is>
      </c>
      <c r="F48" s="100" t="inlineStr">
        <is>
          <t>Not applicable</t>
        </is>
      </c>
      <c r="G48" s="102" t="inlineStr">
        <is>
          <t>The app doesn't have any file downloads.</t>
        </is>
      </c>
      <c r="H48" s="102" t="n"/>
      <c r="I48" s="105" t="n"/>
      <c r="J48" s="105" t="n"/>
      <c r="K48" s="102" t="n"/>
      <c r="L48" s="104" t="n"/>
    </row>
    <row r="49" ht="63.7" customHeight="1">
      <c r="B49" s="21" t="n"/>
      <c r="C49" s="65" t="n">
        <v>37</v>
      </c>
      <c r="D49" s="64" t="inlineStr">
        <is>
          <t>File download</t>
        </is>
      </c>
      <c r="E49" s="41" t="inlineStr">
        <is>
          <t>For each downloaded file: 
- Does the downloaded file open on the given device? 
- Are the file format, layout, fonts and styles correct?
- Is there no text overlapping or truncating?
- Are images displayed correctly?</t>
        </is>
      </c>
      <c r="F49" s="100" t="inlineStr">
        <is>
          <t>Not applicable</t>
        </is>
      </c>
      <c r="G49" s="102" t="inlineStr">
        <is>
          <t>The app doesn't have any file downloads.</t>
        </is>
      </c>
      <c r="H49" s="102" t="n"/>
      <c r="I49" s="105" t="n"/>
      <c r="J49" s="105" t="n"/>
      <c r="K49" s="102" t="n"/>
      <c r="L49" s="104" t="n"/>
    </row>
    <row r="50" ht="28" customFormat="1" customHeight="1" s="5">
      <c r="A50" s="28" t="n"/>
      <c r="B50" s="21" t="n"/>
      <c r="C50" s="65" t="n">
        <v>38</v>
      </c>
      <c r="D50" s="64" t="inlineStr">
        <is>
          <t>File download</t>
        </is>
      </c>
      <c r="E50" s="41" t="inlineStr">
        <is>
          <t>Is there a visual indicator displayed during the download process, so the user understands that a download is in progress (e.g. spinning wheel or progress bar)?</t>
        </is>
      </c>
      <c r="F50" s="100" t="inlineStr">
        <is>
          <t>Not applicable</t>
        </is>
      </c>
      <c r="G50" s="102" t="inlineStr">
        <is>
          <t>The app doesn't have any file downloads.</t>
        </is>
      </c>
      <c r="H50" s="102" t="n"/>
      <c r="I50" s="107" t="n"/>
      <c r="J50" s="77" t="n"/>
      <c r="K50" s="102" t="n"/>
      <c r="L50" s="104" t="n"/>
      <c r="M50" s="28" t="n"/>
    </row>
    <row r="51" ht="28" customFormat="1" customHeight="1" s="5">
      <c r="A51" s="28" t="n"/>
      <c r="B51" s="21" t="n"/>
      <c r="C51" s="65" t="n">
        <v>39</v>
      </c>
      <c r="D51" s="74" t="inlineStr">
        <is>
          <t>File upload</t>
        </is>
      </c>
      <c r="E51" s="41" t="inlineStr">
        <is>
          <t>Can files can uploaded successfully, across all supported file formats, including maximum file sizes?</t>
        </is>
      </c>
      <c r="F51" s="100" t="inlineStr">
        <is>
          <t>Not applicable</t>
        </is>
      </c>
      <c r="G51" s="102" t="inlineStr">
        <is>
          <t>The app doesn't have any file uploads.</t>
        </is>
      </c>
      <c r="H51" s="102" t="n"/>
      <c r="I51" s="107" t="n"/>
      <c r="J51" s="77" t="n"/>
      <c r="K51" s="102" t="n"/>
      <c r="L51" s="104" t="n"/>
      <c r="M51" s="28" t="n"/>
    </row>
    <row r="52" ht="28" customFormat="1" customHeight="1" s="5">
      <c r="A52" s="28" t="n"/>
      <c r="B52" s="21" t="n"/>
      <c r="C52" s="65" t="n">
        <v>40</v>
      </c>
      <c r="D52" s="74" t="inlineStr">
        <is>
          <t>File upload</t>
        </is>
      </c>
      <c r="E52" s="41" t="inlineStr">
        <is>
          <t>Is there a visual indicator displayed during the upload process, so the user understands that an upload is in progress (e.g. spinning wheel or progress bar)?</t>
        </is>
      </c>
      <c r="F52" s="100" t="inlineStr">
        <is>
          <t>Not applicable</t>
        </is>
      </c>
      <c r="G52" s="102" t="inlineStr">
        <is>
          <t>The app doesn't have any file uploads.</t>
        </is>
      </c>
      <c r="H52" s="102" t="n"/>
      <c r="I52" s="107" t="n"/>
      <c r="J52" s="77" t="n"/>
      <c r="K52" s="102" t="n"/>
      <c r="L52" s="104" t="n"/>
      <c r="M52" s="28" t="n"/>
    </row>
    <row r="53" ht="38.25" customFormat="1" customHeight="1" s="5">
      <c r="A53" s="28" t="n"/>
      <c r="B53" s="21" t="n"/>
      <c r="C53" s="65" t="n">
        <v>41</v>
      </c>
      <c r="D53" s="74" t="inlineStr">
        <is>
          <t>File upload</t>
        </is>
      </c>
      <c r="E53" s="41" t="inlineStr">
        <is>
          <t xml:space="preserve">Is a suitable error message displayed for:
- File sizes that are too big 
- Incorrect file formats? </t>
        </is>
      </c>
      <c r="F53" s="100" t="inlineStr">
        <is>
          <t>Not applicable</t>
        </is>
      </c>
      <c r="G53" s="102" t="inlineStr">
        <is>
          <t>The app doesn't have any file uploads.</t>
        </is>
      </c>
      <c r="H53" s="102" t="n"/>
      <c r="I53" s="107" t="n"/>
      <c r="J53" s="77" t="n"/>
      <c r="K53" s="102" t="n"/>
      <c r="L53" s="104" t="n"/>
      <c r="M53" s="28" t="n"/>
    </row>
    <row r="54" ht="171" customHeight="1">
      <c r="B54" s="21" t="n"/>
      <c r="C54" s="65" t="n">
        <v>42</v>
      </c>
      <c r="D54" s="63" t="inlineStr">
        <is>
          <t>Links and navigation</t>
        </is>
      </c>
      <c r="E54" s="45" t="inlineStr">
        <is>
          <t>Is the user able to:  
- Navigate to each field on the page
- Navigate to each link on the page 
- Activate each link on the page 
- Navigate to each menu option on the page 
- Activate each menu option on the page 
- Utilise fields on pop-up screens
- Navigate to next page and previous page 
- Navigate to home page 
- Navigate via voice input</t>
        </is>
      </c>
      <c r="F54" s="100" t="inlineStr">
        <is>
          <t>Pass</t>
        </is>
      </c>
      <c r="G54" s="102" t="inlineStr">
        <is>
          <t>In Safari, Tab skips buttons by default (a Safari setting), so I used Option+Tab. I could move to every field and button (Student -&gt; Password -&gt; Sign in). After login, refreshing the page kept me logged in, and Sign out took me back to the login page. Our app is one page so there is no next/previous page.</t>
        </is>
      </c>
      <c r="H54" s="102" t="n"/>
      <c r="I54" s="105" t="n"/>
      <c r="J54" s="105" t="n"/>
      <c r="K54" s="102" t="n"/>
      <c r="L54" s="104" t="n">
        <v>5.08</v>
      </c>
    </row>
    <row r="55" ht="63.7" customHeight="1">
      <c r="B55" s="21" t="n"/>
      <c r="C55" s="65" t="n">
        <v>43</v>
      </c>
      <c r="D55" s="54" t="inlineStr">
        <is>
          <t>Links and navigation</t>
        </is>
      </c>
      <c r="E55" s="45" t="inlineStr">
        <is>
          <t>Do all hyperlinks function correctly, in terms of:
- Hover over (showing tool tip text)
- Left mouse click 
- Keyboard activate (tab to the link and hit enter)
- Long-press / tap-and-hold</t>
        </is>
      </c>
      <c r="F55" s="106" t="inlineStr">
        <is>
          <t>Not applicable</t>
        </is>
      </c>
      <c r="G55" s="102" t="inlineStr">
        <is>
          <t>There are no hyperlinks in our app, only buttons (checked in tests 31 and 42).</t>
        </is>
      </c>
      <c r="H55" s="102" t="n"/>
      <c r="I55" s="105" t="n"/>
      <c r="J55" s="105" t="n"/>
      <c r="K55" s="102" t="n"/>
      <c r="L55" s="104" t="n"/>
    </row>
    <row r="56" ht="63.7" customHeight="1">
      <c r="B56" s="21" t="n"/>
      <c r="C56" s="65" t="n">
        <v>44</v>
      </c>
      <c r="D56" s="54" t="inlineStr">
        <is>
          <t>Links and navigation</t>
        </is>
      </c>
      <c r="E56" s="45" t="inlineStr">
        <is>
          <t>Can the user navigate within the web page using the keyboard only, including: 
- Page up 
- Page down 
- Arrow keys 
- Tab / shift tab</t>
        </is>
      </c>
      <c r="F56" s="106" t="inlineStr">
        <is>
          <t>Not applicable</t>
        </is>
      </c>
      <c r="G56" s="102" t="inlineStr">
        <is>
          <t>Phones don't have Page Up / Page Down or arrow keys.</t>
        </is>
      </c>
      <c r="H56" s="102" t="n"/>
      <c r="I56" s="105" t="n"/>
      <c r="J56" s="105" t="n"/>
      <c r="K56" s="102" t="n"/>
      <c r="L56" s="104" t="n"/>
    </row>
    <row r="57" ht="54" customHeight="1">
      <c r="B57" s="21" t="n"/>
      <c r="C57" s="65" t="n">
        <v>45</v>
      </c>
      <c r="D57" s="72" t="inlineStr">
        <is>
          <t>Haptic feedback</t>
        </is>
      </c>
      <c r="E57" s="45" t="inlineStr">
        <is>
          <t xml:space="preserve">For devices, does haptic feedback work correctly including for: 
- Links 
- Buttons 
- Input fields </t>
        </is>
      </c>
      <c r="F57" s="106" t="inlineStr">
        <is>
          <t>Not applicable</t>
        </is>
      </c>
      <c r="G57" s="102" t="inlineStr">
        <is>
          <t>Haptic (vibration) feedback can't be felt on an emulator, and our app doesn't use vibration.</t>
        </is>
      </c>
      <c r="H57" s="102" t="n"/>
      <c r="I57" s="105" t="n"/>
      <c r="J57" s="105" t="n"/>
      <c r="K57" s="102" t="n"/>
      <c r="L57" s="104" t="n"/>
    </row>
    <row r="58" ht="38.25" customHeight="1">
      <c r="B58" s="21" t="n"/>
      <c r="C58" s="65" t="n">
        <v>46</v>
      </c>
      <c r="D58" s="54" t="inlineStr">
        <is>
          <t>Search field</t>
        </is>
      </c>
      <c r="E58" s="45" t="inlineStr">
        <is>
          <t xml:space="preserve">Is the search bar:
- Displayed in the correctly location? 
- Expand when clicked/in focus (if applicable)? </t>
        </is>
      </c>
      <c r="F58" s="106" t="inlineStr">
        <is>
          <t>Not applicable</t>
        </is>
      </c>
      <c r="G58" s="102" t="inlineStr">
        <is>
          <t>The app doesn't have a search bar.</t>
        </is>
      </c>
      <c r="H58" s="102" t="n"/>
      <c r="I58" s="105" t="n"/>
      <c r="J58" s="105" t="n"/>
      <c r="K58" s="102" t="n"/>
      <c r="L58" s="104" t="n"/>
    </row>
    <row r="59" ht="76.45" customHeight="1">
      <c r="A59" s="40" t="n"/>
      <c r="C59" s="65" t="n">
        <v>47</v>
      </c>
      <c r="D59" s="72" t="inlineStr">
        <is>
          <t xml:space="preserve">Printing </t>
        </is>
      </c>
      <c r="E59" s="49" t="inlineStr">
        <is>
          <t>Does print functionality work correctly including for: 
- Font style and size
- Page alignment 
- Page graphics 
- Page fits to the paper size 
- Print preview</t>
        </is>
      </c>
      <c r="F59" s="106" t="inlineStr">
        <is>
          <t>Pass</t>
        </is>
      </c>
      <c r="G59" s="102" t="inlineStr">
        <is>
          <t>Checked the print view at A4 size. Text, fonts and the mastery bars all fit on the page and nothing was cut off.</t>
        </is>
      </c>
      <c r="H59" s="102" t="n"/>
      <c r="I59" s="105" t="n"/>
      <c r="J59" s="105" t="n"/>
      <c r="K59" s="102" t="inlineStr">
        <is>
          <t>Compatibility Testing Evidence/iphone-print-preview.png</t>
        </is>
      </c>
      <c r="L59" s="104" t="n">
        <v>3.79</v>
      </c>
    </row>
    <row r="60">
      <c r="B60" s="21" t="n"/>
      <c r="C60" s="30" t="n"/>
      <c r="D60" s="30" t="n"/>
      <c r="E60" s="31" t="n"/>
      <c r="F60" s="32" t="n"/>
      <c r="G60" s="32" t="n"/>
      <c r="H60" s="32" t="n"/>
      <c r="I60" s="32" t="n"/>
      <c r="J60" s="32" t="n"/>
      <c r="K60" s="32" t="n"/>
      <c r="L60" s="24" t="n"/>
    </row>
    <row r="61">
      <c r="B61" s="21" t="n"/>
      <c r="C61" s="33" t="n"/>
      <c r="E61" s="34" t="n"/>
      <c r="F61" s="35" t="n"/>
      <c r="G61" s="35" t="n"/>
      <c r="H61" s="35" t="n"/>
      <c r="I61" s="35" t="n"/>
      <c r="J61" s="35" t="n"/>
      <c r="K61" s="35" t="n"/>
      <c r="L61" s="24" t="n"/>
    </row>
    <row r="62" ht="13.3" customHeight="1" thickBot="1">
      <c r="B62" s="36" t="n"/>
      <c r="C62" s="37" t="inlineStr">
        <is>
          <t xml:space="preserve">© Planit </t>
        </is>
      </c>
      <c r="D62" s="38" t="n"/>
      <c r="E62" s="38" t="n"/>
      <c r="F62" s="39" t="n"/>
      <c r="G62" s="39" t="n"/>
      <c r="H62" s="39" t="n"/>
      <c r="I62" s="39" t="n"/>
      <c r="J62" s="39" t="n"/>
      <c r="K62" s="39" t="n"/>
      <c r="L62" s="29" t="n"/>
    </row>
    <row r="63">
      <c r="G63" s="10" t="n"/>
      <c r="H63" s="10" t="n"/>
      <c r="K63" s="10" t="n"/>
    </row>
    <row r="64">
      <c r="C64" s="11" t="n"/>
      <c r="D64" s="108" t="inlineStr">
        <is>
          <t>Test Metrics</t>
        </is>
      </c>
      <c r="G64" s="10" t="n"/>
      <c r="H64" s="10" t="n"/>
      <c r="K64" s="10" t="n"/>
    </row>
    <row r="65">
      <c r="C65" s="13" t="n"/>
      <c r="D65" s="14" t="n"/>
      <c r="E65" s="109" t="inlineStr">
        <is>
          <t>Total checks in the checklist</t>
        </is>
      </c>
      <c r="F65" s="110">
        <f>COUNTA(C13:C59)</f>
        <v>47.0</v>
      </c>
      <c r="G65" s="10" t="n"/>
      <c r="H65" s="10" t="n"/>
      <c r="K65" s="10" t="n"/>
    </row>
    <row r="66">
      <c r="C66" s="13" t="n"/>
      <c r="D66" s="14" t="n"/>
      <c r="E66" s="109" t="inlineStr">
        <is>
          <t>Tests executed (Pass + Fail)</t>
        </is>
      </c>
      <c r="F66" s="110">
        <f>COUNTIF(F13:F59,"Pass")+COUNTIF(F13:F59,"Fail")</f>
        <v>20.0</v>
      </c>
    </row>
    <row r="67">
      <c r="C67" s="13" t="n"/>
      <c r="D67" s="14" t="n"/>
      <c r="E67" s="109" t="inlineStr">
        <is>
          <t>Passed</t>
        </is>
      </c>
      <c r="F67" s="110">
        <f>COUNTIF(F13:F59,"Pass")</f>
        <v>20.0</v>
      </c>
    </row>
    <row r="68">
      <c r="C68" s="11" t="n"/>
      <c r="D68" s="12" t="n"/>
      <c r="E68" s="109" t="inlineStr">
        <is>
          <t>Failed</t>
        </is>
      </c>
      <c r="F68" s="110">
        <f>COUNTIF(F13:F59,"Fail")</f>
        <v>0.0</v>
      </c>
    </row>
    <row r="69">
      <c r="C69" s="11" t="n"/>
      <c r="D69" s="12" t="n"/>
      <c r="E69" s="109" t="inlineStr">
        <is>
          <t>Not run</t>
        </is>
      </c>
      <c r="F69" s="110">
        <f>COUNTIF(F13:F59,"Not run")</f>
        <v>1.0</v>
      </c>
    </row>
    <row r="70">
      <c r="E70" s="109" t="inlineStr">
        <is>
          <t>Not applicable</t>
        </is>
      </c>
      <c r="F70" s="110">
        <f>COUNTIF(F13:F59,"Not applicable")</f>
        <v>26.0</v>
      </c>
    </row>
    <row r="71">
      <c r="E71" s="109" t="inlineStr">
        <is>
          <t>Total time taken to execute the tests (sec)</t>
        </is>
      </c>
      <c r="F71" s="111">
        <f>SUM(L13:L59)</f>
        <v>67.82000000000001</v>
      </c>
    </row>
    <row r="72">
      <c r="E72" s="109" t="inlineStr">
        <is>
          <t>Average time taken per test (sec)</t>
        </is>
      </c>
      <c r="F72" s="111">
        <f>IFERROR(F71/F66,0)</f>
        <v>3.3910000000000005</v>
      </c>
    </row>
    <row r="73">
      <c r="E73" s="109" t="inlineStr">
        <is>
          <t>Pass rate</t>
        </is>
      </c>
      <c r="F73" s="112">
        <f>IFERROR(F67/F66,0)</f>
        <v>1.0</v>
      </c>
    </row>
    <row r="74">
      <c r="E74" s="109" t="inlineStr">
        <is>
          <t>Failure rate</t>
        </is>
      </c>
      <c r="F74" s="112">
        <f>IFERROR(F68/F66,0)</f>
        <v>0.0</v>
      </c>
    </row>
    <row r="75">
      <c r="E75" s="113" t="inlineStr">
        <is>
          <t>Pass rate = Passed ÷ Tests executed. "Not applicable" and "Not run" tests are not counted in the rates or the average.</t>
        </is>
      </c>
    </row>
  </sheetData>
  <conditionalFormatting sqref="F13:K59">
    <cfRule type="cellIs" priority="1" operator="equal" dxfId="5" stopIfTrue="1">
      <formula>RiskAccepted</formula>
    </cfRule>
    <cfRule type="cellIs" priority="2" operator="equal" dxfId="4" stopIfTrue="1">
      <formula>Conforming</formula>
    </cfRule>
    <cfRule type="cellIs" priority="3" operator="equal" dxfId="3" stopIfTrue="1">
      <formula>NotConforming</formula>
    </cfRule>
    <cfRule type="cellIs" priority="4" operator="equal" dxfId="2" stopIfTrue="1">
      <formula>OutOfScope</formula>
    </cfRule>
  </conditionalFormatting>
  <conditionalFormatting sqref="I13:J58">
    <cfRule type="colorScale" priority="71">
      <colorScale>
        <cfvo type="min"/>
        <cfvo type="max"/>
        <color rgb="FFFF7128"/>
        <color rgb="FFFFEF9C"/>
      </colorScale>
    </cfRule>
  </conditionalFormatting>
  <conditionalFormatting sqref="I59:J59">
    <cfRule type="colorScale" priority="7">
      <colorScale>
        <cfvo type="min"/>
        <cfvo type="max"/>
        <color rgb="FFFF7128"/>
        <color rgb="FFFFEF9C"/>
      </colorScale>
    </cfRule>
  </conditionalFormatting>
  <conditionalFormatting sqref="I13:K59">
    <cfRule type="cellIs" priority="31" operator="equal" dxfId="1">
      <formula>"Major"</formula>
    </cfRule>
    <cfRule type="cellIs" priority="32" operator="equal" dxfId="0">
      <formula>"Minor"</formula>
    </cfRule>
  </conditionalFormatting>
  <conditionalFormatting sqref="F13:F59">
    <cfRule type="cellIs" priority="9" operator="equal" dxfId="6">
      <formula>"Pass"</formula>
    </cfRule>
    <cfRule type="cellIs" priority="10" operator="equal" dxfId="7">
      <formula>"Fail"</formula>
    </cfRule>
  </conditionalFormatting>
  <dataValidations count="2">
    <dataValidation sqref="F13:F59" showDropDown="0" showInputMessage="0" showErrorMessage="0" allowBlank="1" type="list">
      <formula1>Status</formula1>
    </dataValidation>
    <dataValidation sqref="I13:I59" showDropDown="0" showInputMessage="0" showErrorMessage="0" allowBlank="1" type="list">
      <formula1>Variables!$D$2:$D$3</formula1>
    </dataValidation>
  </dataValidations>
  <pageMargins left="0.2362204724409449" right="0.2362204724409449" top="0.7480314960629921" bottom="0.7480314960629921" header="0.3149606299212598" footer="0.3149606299212598"/>
  <pageSetup orientation="landscape" paperSize="9"/>
  <drawing xmlns:r="http://schemas.openxmlformats.org/officeDocument/2006/relationships" r:id="rId1"/>
</worksheet>
</file>

<file path=xl/worksheets/sheet6.xml><?xml version="1.0" encoding="utf-8"?>
<worksheet xmlns="http://schemas.openxmlformats.org/spreadsheetml/2006/main">
  <sheetPr codeName="Sheet1">
    <tabColor theme="7" tint="0.3999755851924192"/>
    <outlinePr summaryBelow="1" summaryRight="1"/>
    <pageSetUpPr/>
  </sheetPr>
  <dimension ref="A2:M75"/>
  <sheetViews>
    <sheetView showGridLines="0" workbookViewId="0">
      <pane ySplit="12" topLeftCell="A13" activePane="bottomLeft" state="frozen"/>
      <selection pane="bottomLeft" activeCell="A1" sqref="A1"/>
    </sheetView>
  </sheetViews>
  <sheetFormatPr baseColWidth="8" defaultColWidth="9.09765625" defaultRowHeight="12.75" customHeight="1"/>
  <cols>
    <col width="2.8984375" customWidth="1" style="6" min="1" max="1"/>
    <col width="4.296875" customWidth="1" style="6" min="2" max="2"/>
    <col width="7.59765625" customWidth="1" style="7" min="3" max="3"/>
    <col width="21.8984375" customWidth="1" style="8" min="4" max="4"/>
    <col width="72" customWidth="1" style="9" min="5" max="5"/>
    <col width="14.59765625" bestFit="1" customWidth="1" style="6" min="6" max="6"/>
    <col width="24.59765625" customWidth="1" style="6" min="7" max="7"/>
    <col width="18.19921875" customWidth="1" style="6" min="8" max="8"/>
    <col width="19.3984375" bestFit="1" customWidth="1" style="6" min="9" max="9"/>
    <col width="19.3984375" customWidth="1" style="6" min="10" max="10"/>
    <col width="25" customWidth="1" style="6" min="11" max="11"/>
    <col width="16" customWidth="1" style="6" min="12" max="12"/>
    <col width="3.296875" customWidth="1" style="6" min="13" max="13"/>
    <col width="9.09765625" customWidth="1" style="3" min="14" max="16384"/>
  </cols>
  <sheetData>
    <row r="1" ht="13.3" customHeight="1" thickBot="1"/>
    <row r="2">
      <c r="B2" s="15" t="n"/>
      <c r="C2" s="16" t="n"/>
      <c r="D2" s="17" t="n"/>
      <c r="E2" s="18" t="n"/>
      <c r="F2" s="19" t="n"/>
      <c r="G2" s="19" t="n"/>
      <c r="H2" s="19" t="n"/>
      <c r="I2" s="19" t="n"/>
      <c r="J2" s="19" t="n"/>
      <c r="K2" s="19" t="n"/>
      <c r="L2" s="20" t="n"/>
    </row>
    <row r="3" ht="25.5" customHeight="1">
      <c r="B3" s="21" t="n"/>
      <c r="C3" s="22" t="inlineStr">
        <is>
          <t>Compatibility Testing Checklist</t>
        </is>
      </c>
      <c r="E3" s="23" t="n"/>
      <c r="F3" s="23" t="n"/>
      <c r="G3" s="23" t="n"/>
      <c r="H3" s="23" t="n"/>
      <c r="I3" s="23" t="n"/>
      <c r="J3" s="23" t="n"/>
      <c r="K3" s="23" t="n"/>
      <c r="L3" s="24" t="n"/>
    </row>
    <row r="4">
      <c r="B4" s="21" t="n"/>
      <c r="L4" s="24" t="n"/>
    </row>
    <row r="5">
      <c r="B5" s="21" t="n"/>
      <c r="C5" s="3" t="n"/>
      <c r="D5" s="55" t="inlineStr">
        <is>
          <t xml:space="preserve">Test object: </t>
        </is>
      </c>
      <c r="E5" s="98" t="inlineStr">
        <is>
          <t>Learning Journey Assistant (https://learning-journey-app.onrender.com)</t>
        </is>
      </c>
      <c r="F5" s="57" t="inlineStr">
        <is>
          <t xml:space="preserve">Name of the system being tested </t>
        </is>
      </c>
      <c r="L5" s="24" t="n"/>
    </row>
    <row r="6" ht="26" customHeight="1">
      <c r="B6" s="21" t="n"/>
      <c r="C6" s="3" t="n"/>
      <c r="D6" s="55" t="inlineStr">
        <is>
          <t>Test basis:</t>
        </is>
      </c>
      <c r="E6" s="98" t="inlineStr">
        <is>
          <t>User stories: a student logs in and views their mastery scores, knowledge gaps, feedback history and AI study plan. Also past experience with similar web apps.</t>
        </is>
      </c>
      <c r="F6" s="57" t="inlineStr">
        <is>
          <t>What test design is based on - for example, requirements, epics, user stories, or past experience with similar systems</t>
        </is>
      </c>
      <c r="L6" s="24" t="n"/>
    </row>
    <row r="7">
      <c r="B7" s="21" t="n"/>
      <c r="C7" s="3" t="n"/>
      <c r="D7" s="55" t="inlineStr">
        <is>
          <t>Page name:</t>
        </is>
      </c>
      <c r="E7" s="98" t="inlineStr">
        <is>
          <t>Login page and Student Dashboard</t>
        </is>
      </c>
      <c r="F7" s="57" t="inlineStr">
        <is>
          <t>Name of the page or tab being tested</t>
        </is>
      </c>
      <c r="L7" s="24" t="n"/>
    </row>
    <row r="8" ht="26" customHeight="1">
      <c r="B8" s="21" t="n"/>
      <c r="C8" s="3" t="n"/>
      <c r="D8" s="55" t="inlineStr">
        <is>
          <t>Environment details:</t>
        </is>
      </c>
      <c r="E8" s="98" t="inlineStr">
        <is>
          <t>Google Pixel 7 emulator (Android, Chrome 154.0.8037.95) on macOS, screen 412x839, touch on. Tests run with a Playwright automation script.</t>
        </is>
      </c>
      <c r="F8" s="57" t="inlineStr">
        <is>
          <t>Describe the test environment - e.g. Apple iPhone X running iOS Y, Edge browser version aa.bb</t>
        </is>
      </c>
      <c r="L8" s="24" t="n"/>
    </row>
    <row r="9">
      <c r="B9" s="21" t="n"/>
      <c r="C9" s="3" t="n"/>
      <c r="D9" s="55" t="inlineStr">
        <is>
          <t>Tester name:</t>
        </is>
      </c>
      <c r="E9" s="98" t="inlineStr">
        <is>
          <t>Ritik Rayamajhi</t>
        </is>
      </c>
      <c r="F9" s="57" t="inlineStr">
        <is>
          <t>Name of the person performing the testing</t>
        </is>
      </c>
      <c r="L9" s="24" t="n"/>
    </row>
    <row r="10">
      <c r="B10" s="21" t="n"/>
      <c r="C10" s="3" t="n"/>
      <c r="D10" s="55" t="inlineStr">
        <is>
          <t>Date tested:</t>
        </is>
      </c>
      <c r="E10" s="99" t="n">
        <v>46300</v>
      </c>
      <c r="F10" s="57" t="inlineStr">
        <is>
          <t>Date tests were run on</t>
        </is>
      </c>
      <c r="L10" s="24" t="n"/>
    </row>
    <row r="11">
      <c r="B11" s="21" t="n"/>
      <c r="L11" s="24" t="n"/>
    </row>
    <row r="12" ht="25.5" customFormat="1" customHeight="1" s="4">
      <c r="A12" s="26" t="n"/>
      <c r="B12" s="21" t="n"/>
      <c r="C12" s="66" t="inlineStr">
        <is>
          <t>ID</t>
        </is>
      </c>
      <c r="D12" s="67" t="inlineStr">
        <is>
          <t>Perspective</t>
        </is>
      </c>
      <c r="E12" s="68" t="inlineStr">
        <is>
          <t>Checklist</t>
        </is>
      </c>
      <c r="F12" s="68" t="inlineStr">
        <is>
          <t>Result</t>
        </is>
      </c>
      <c r="G12" s="69" t="inlineStr">
        <is>
          <t>Comments</t>
        </is>
      </c>
      <c r="H12" s="69" t="inlineStr">
        <is>
          <t>Defect ID</t>
        </is>
      </c>
      <c r="I12" s="70" t="inlineStr">
        <is>
          <t>Defect Severity</t>
        </is>
      </c>
      <c r="J12" s="70" t="inlineStr">
        <is>
          <t>Defect Details</t>
        </is>
      </c>
      <c r="K12" s="69" t="inlineStr">
        <is>
          <t>Test Evidence</t>
        </is>
      </c>
      <c r="L12" s="69" t="inlineStr">
        <is>
          <t>Time Taken (sec)</t>
        </is>
      </c>
      <c r="M12" s="26" t="n"/>
    </row>
    <row r="13" ht="67" customHeight="1">
      <c r="B13" s="21" t="n"/>
      <c r="C13" s="65" t="n">
        <v>1</v>
      </c>
      <c r="D13" s="71" t="inlineStr">
        <is>
          <t>Page structure</t>
        </is>
      </c>
      <c r="E13" s="41" t="inlineStr">
        <is>
          <t>Has the correct page template, style sheet and/or structure been used, matching company and project requirements?</t>
        </is>
      </c>
      <c r="F13" s="100" t="inlineStr">
        <is>
          <t>Pass</t>
        </is>
      </c>
      <c r="G13" s="101" t="inlineStr">
        <is>
          <t>Both pages (login and dashboard) use the same layout: logo at the top, white rounded cards on a light grey background.</t>
        </is>
      </c>
      <c r="H13" s="102" t="n"/>
      <c r="I13" s="103" t="n"/>
      <c r="J13" s="77" t="n"/>
      <c r="K13" s="102" t="inlineStr">
        <is>
          <t>Compatibility Testing Evidence/android-dashboard.png</t>
        </is>
      </c>
      <c r="L13" s="104" t="n">
        <v>3.97</v>
      </c>
    </row>
    <row r="14" ht="80" customHeight="1">
      <c r="B14" s="21" t="n"/>
      <c r="C14" s="65" t="n">
        <v>2</v>
      </c>
      <c r="D14" s="71" t="inlineStr">
        <is>
          <t>Page structure</t>
        </is>
      </c>
      <c r="E14" s="45" t="inlineStr">
        <is>
          <t xml:space="preserve">Do page colours and fonts match company branding? </t>
        </is>
      </c>
      <c r="F14" s="100" t="inlineStr">
        <is>
          <t>Pass</t>
        </is>
      </c>
      <c r="G14" s="102" t="inlineStr">
        <is>
          <t>We don't have an official brand guide, so I checked the purple colour is the same on all buttons and the logo on both pages. It matched.</t>
        </is>
      </c>
      <c r="H14" s="102" t="n"/>
      <c r="I14" s="105" t="n"/>
      <c r="J14" s="105" t="n"/>
      <c r="K14" s="102" t="n"/>
      <c r="L14" s="104" t="n">
        <v>3.78</v>
      </c>
    </row>
    <row r="15" ht="54" customHeight="1">
      <c r="B15" s="21" t="n"/>
      <c r="C15" s="65" t="n">
        <v>3</v>
      </c>
      <c r="D15" s="71" t="inlineStr">
        <is>
          <t>Page structure</t>
        </is>
      </c>
      <c r="E15" s="45" t="inlineStr">
        <is>
          <t>Does the page description (e.g. in the title bar or tab) correctly reflect the page content?</t>
        </is>
      </c>
      <c r="F15" s="100" t="inlineStr">
        <is>
          <t>Pass</t>
        </is>
      </c>
      <c r="G15" s="102" t="inlineStr">
        <is>
          <t>The tab title says "Learning Journey Assistant" on both pages, which matches the app name.</t>
        </is>
      </c>
      <c r="H15" s="102" t="n"/>
      <c r="I15" s="105" t="n"/>
      <c r="J15" s="105" t="n"/>
      <c r="K15" s="102" t="n"/>
      <c r="L15" s="104" t="n">
        <v>3.71</v>
      </c>
    </row>
    <row r="16" ht="119" customHeight="1">
      <c r="B16" s="21" t="n"/>
      <c r="C16" s="65" t="n">
        <v>4</v>
      </c>
      <c r="D16" s="71" t="inlineStr">
        <is>
          <t>Page structure</t>
        </is>
      </c>
      <c r="E16" s="45" t="inlineStr">
        <is>
          <t xml:space="preserve">Have correct and consistent fonts, text sizes and text positions been used, including: 
- Header 
- Menu bar 
- Body/content 
- Input and output fields
- Buttons (e.g. Next/Previous, Submit/Cancel etc.) 
- Footer </t>
        </is>
      </c>
      <c r="F16" s="100" t="inlineStr">
        <is>
          <t>Pass</t>
        </is>
      </c>
      <c r="G16" s="102" t="inlineStr">
        <is>
          <t>Header, body text, dropdown, password box and buttons all use the same font (Geist). Headings are bigger and bold, body text is smaller. Nothing overlapped. (No menu bar or footer in our app.)</t>
        </is>
      </c>
      <c r="H16" s="102" t="n"/>
      <c r="I16" s="105" t="n"/>
      <c r="J16" s="105" t="n"/>
      <c r="K16" s="102" t="n"/>
      <c r="L16" s="104" t="n">
        <v>3.67</v>
      </c>
    </row>
    <row r="17" ht="67.59999999999999" customHeight="1">
      <c r="B17" s="21" t="n"/>
      <c r="C17" s="65" t="n">
        <v>5</v>
      </c>
      <c r="D17" s="71" t="inlineStr">
        <is>
          <t>Page structure</t>
        </is>
      </c>
      <c r="E17" s="45" t="inlineStr">
        <is>
          <t>Does the page display correctly across different screen resolutions, including:
- High definition (HD) 
- Recommended display setting (on computer)
- Lowest display setting (on computer)
- Devices (e.g. mobile, tablet, watch)</t>
        </is>
      </c>
      <c r="F17" s="100" t="inlineStr">
        <is>
          <t>Pass</t>
        </is>
      </c>
      <c r="G17" s="102" t="inlineStr">
        <is>
          <t>Checked the dashboard in portrait (412x839) and landscape (839x412). It fit the screen both ways.</t>
        </is>
      </c>
      <c r="H17" s="102" t="n"/>
      <c r="I17" s="105" t="n"/>
      <c r="J17" s="105" t="n"/>
      <c r="K17" s="102" t="inlineStr">
        <is>
          <t>Compatibility Testing Evidence/android-resolution-small.png</t>
        </is>
      </c>
      <c r="L17" s="104" t="n">
        <v>3.78</v>
      </c>
    </row>
    <row r="18" ht="67" customHeight="1">
      <c r="B18" s="21" t="n"/>
      <c r="C18" s="65" t="n">
        <v>6</v>
      </c>
      <c r="D18" s="71" t="inlineStr">
        <is>
          <t>Page structure</t>
        </is>
      </c>
      <c r="E18" s="45" t="inlineStr">
        <is>
          <t>Does the page scroll smoothly without lagging?</t>
        </is>
      </c>
      <c r="F18" s="100" t="inlineStr">
        <is>
          <t>Pass</t>
        </is>
      </c>
      <c r="G18" s="102" t="inlineStr">
        <is>
          <t>Scrolled from the top to the bottom of the dashboard. It was smooth with no lag (about 61 frames per second).</t>
        </is>
      </c>
      <c r="H18" s="102" t="n"/>
      <c r="I18" s="105" t="n"/>
      <c r="J18" s="105" t="n"/>
      <c r="K18" s="102" t="n"/>
      <c r="L18" s="104" t="n">
        <v>4.34</v>
      </c>
    </row>
    <row r="19" ht="67" customHeight="1">
      <c r="B19" s="21" t="n"/>
      <c r="C19" s="65" t="n">
        <v>7</v>
      </c>
      <c r="D19" s="71" t="inlineStr">
        <is>
          <t>Page structure</t>
        </is>
      </c>
      <c r="E19" s="45" t="inlineStr">
        <is>
          <t>Is the page content viewable without the need for a horizontal scroll bar? (horizontal scrolling is generally not recommended/preferred)</t>
        </is>
      </c>
      <c r="F19" s="100" t="inlineStr">
        <is>
          <t>Pass</t>
        </is>
      </c>
      <c r="G19" s="102" t="inlineStr">
        <is>
          <t>No horizontal scroll bar on the login page or the dashboard. Everything fits the width of the screen.</t>
        </is>
      </c>
      <c r="H19" s="102" t="n"/>
      <c r="I19" s="105" t="n"/>
      <c r="J19" s="105" t="n"/>
      <c r="K19" s="102" t="n"/>
      <c r="L19" s="104" t="n">
        <v>3.66</v>
      </c>
    </row>
    <row r="20" ht="93" customHeight="1">
      <c r="B20" s="21" t="n"/>
      <c r="C20" s="65" t="n">
        <v>8</v>
      </c>
      <c r="D20" s="71" t="inlineStr">
        <is>
          <t>Page structure</t>
        </is>
      </c>
      <c r="E20" s="45" t="inlineStr">
        <is>
          <t>Do menus function correctly when opened, traversed and activated/clicked, including: 
- Hamburger menu
- Expandable menus
- Collapsible menus
- Drop down "more information" menus (usually available via an ellipsis …)</t>
        </is>
      </c>
      <c r="F20" s="106" t="inlineStr">
        <is>
          <t>Pass</t>
        </is>
      </c>
      <c r="G20" s="102" t="inlineStr">
        <is>
          <t>Our app has no hamburger or expandable menus. The only menu is the student dropdown on the login page - I picked all 5 students one by one and each one got selected.</t>
        </is>
      </c>
      <c r="H20" s="102" t="n"/>
      <c r="I20" s="105" t="n"/>
      <c r="J20" s="105" t="n"/>
      <c r="K20" s="102" t="n"/>
      <c r="L20" s="104" t="n">
        <v>0.95</v>
      </c>
    </row>
    <row r="21" ht="67" customHeight="1">
      <c r="B21" s="21" t="n"/>
      <c r="C21" s="65" t="n">
        <v>9</v>
      </c>
      <c r="D21" s="71" t="inlineStr">
        <is>
          <t>Page structure</t>
        </is>
      </c>
      <c r="E21" s="45" t="inlineStr">
        <is>
          <t>Does the page view correctly when using zoom in and out?</t>
        </is>
      </c>
      <c r="F21" s="106" t="inlineStr">
        <is>
          <t>Pass</t>
        </is>
      </c>
      <c r="G21" s="102" t="inlineStr">
        <is>
          <t>Zoomed in to 200% and out to 50%. The text and bars resized properly and nothing went off the screen.</t>
        </is>
      </c>
      <c r="H21" s="102" t="n"/>
      <c r="I21" s="105" t="n"/>
      <c r="J21" s="105" t="n"/>
      <c r="K21" s="102" t="inlineStr">
        <is>
          <t>Compatibility Testing Evidence/android-zoom-200.png</t>
        </is>
      </c>
      <c r="L21" s="104" t="n">
        <v>3.78</v>
      </c>
    </row>
    <row r="22" ht="119" customHeight="1">
      <c r="B22" s="21" t="n"/>
      <c r="C22" s="65" t="n">
        <v>10</v>
      </c>
      <c r="D22" s="71" t="inlineStr">
        <is>
          <t>Page structure</t>
        </is>
      </c>
      <c r="E22" s="45" t="inlineStr">
        <is>
          <t>When JavaScript is turned off, do understandable error messages appear explaining that JavaScript must be enabled to display required content, without any scripts being displayed to on the screen?</t>
        </is>
      </c>
      <c r="F22" s="106" t="inlineStr">
        <is>
          <t>Pass</t>
        </is>
      </c>
      <c r="G22" s="102" t="inlineStr">
        <is>
          <t>With JavaScript off the page shows: "Learning Journey Assistant
Please enable JavaScript in your browser to use this" (This failed in my first test run - see DEF-01. After the fix I retested it and it passed.)</t>
        </is>
      </c>
      <c r="H22" s="102" t="inlineStr">
        <is>
          <t>DEF-01</t>
        </is>
      </c>
      <c r="I22" s="105" t="inlineStr">
        <is>
          <t>Minor</t>
        </is>
      </c>
      <c r="J22" s="105" t="inlineStr">
        <is>
          <t>With JavaScript disabled the app shows a blank white page and no message. Expected: a message like "Please enable JavaScript to use this app" (e.g. a &lt;noscript&gt; tag in layout.tsx). Fixed: added a message telling users to turn on JavaScript. Retested 05/10/2026: Pass.</t>
        </is>
      </c>
      <c r="K22" s="102" t="inlineStr">
        <is>
          <t>After fix: Compatibility Testing Evidence/android-javascript-off.png
Before fix: Compatibility Testing Evidence/first-run/android-javascript-off.png</t>
        </is>
      </c>
      <c r="L22" s="104" t="n">
        <v>1.74</v>
      </c>
    </row>
    <row r="23" ht="101.95" customHeight="1">
      <c r="B23" s="21" t="n"/>
      <c r="C23" s="65" t="n">
        <v>11</v>
      </c>
      <c r="D23" s="54" t="inlineStr">
        <is>
          <t>Images</t>
        </is>
      </c>
      <c r="E23" s="45" t="inlineStr">
        <is>
          <t>Are images displayed correctly, including: 
- Position on the page (alignment, not overlapping fields, content or edge of screen)
- Rendering 
- Resolution
- Background (e.g. transparent)
- Lazy loading (load on scroll)
- No distortion (i.e. correct aspect ratio)
- No broken links</t>
        </is>
      </c>
      <c r="F23" s="106" t="inlineStr">
        <is>
          <t>Not applicable</t>
        </is>
      </c>
      <c r="G23" s="102" t="inlineStr">
        <is>
          <t>Our pages don't have any images. The logo is just the letters "LJ" in a purple box (made with text, not an image).</t>
        </is>
      </c>
      <c r="H23" s="102" t="n"/>
      <c r="I23" s="105" t="n"/>
      <c r="J23" s="105" t="n"/>
      <c r="K23" s="102" t="n"/>
      <c r="L23" s="104" t="n"/>
    </row>
    <row r="24" ht="28" customHeight="1">
      <c r="B24" s="21" t="n"/>
      <c r="C24" s="65" t="n">
        <v>12</v>
      </c>
      <c r="D24" s="54" t="inlineStr">
        <is>
          <t>Images</t>
        </is>
      </c>
      <c r="E24" s="45" t="inlineStr">
        <is>
          <t>Are images suitable for the given content and context?</t>
        </is>
      </c>
      <c r="F24" s="106" t="inlineStr">
        <is>
          <t>Not applicable</t>
        </is>
      </c>
      <c r="G24" s="102" t="inlineStr">
        <is>
          <t>No images on the login page or dashboard.</t>
        </is>
      </c>
      <c r="H24" s="102" t="n"/>
      <c r="I24" s="105" t="n"/>
      <c r="J24" s="105" t="n"/>
      <c r="K24" s="102" t="n"/>
      <c r="L24" s="104" t="n"/>
    </row>
    <row r="25" ht="28" customHeight="1">
      <c r="B25" s="21" t="n"/>
      <c r="C25" s="65" t="n">
        <v>13</v>
      </c>
      <c r="D25" s="54" t="inlineStr">
        <is>
          <t>Images</t>
        </is>
      </c>
      <c r="E25" s="45" t="inlineStr">
        <is>
          <t xml:space="preserve">Do images include suitable alternative text? </t>
        </is>
      </c>
      <c r="F25" s="106" t="inlineStr">
        <is>
          <t>Not applicable</t>
        </is>
      </c>
      <c r="G25" s="102" t="inlineStr">
        <is>
          <t>No images, so there is no alt text to check.</t>
        </is>
      </c>
      <c r="H25" s="102" t="n"/>
      <c r="I25" s="105" t="n"/>
      <c r="J25" s="105" t="n"/>
      <c r="K25" s="102" t="n"/>
      <c r="L25" s="104" t="n"/>
    </row>
    <row r="26" ht="28" customHeight="1">
      <c r="B26" s="21" t="n"/>
      <c r="C26" s="65" t="n">
        <v>14</v>
      </c>
      <c r="D26" s="54" t="inlineStr">
        <is>
          <t>Images</t>
        </is>
      </c>
      <c r="E26" s="45" t="inlineStr">
        <is>
          <t>Do clickable images navigate to the correct location?</t>
        </is>
      </c>
      <c r="F26" s="106" t="inlineStr">
        <is>
          <t>Not applicable</t>
        </is>
      </c>
      <c r="G26" s="102" t="inlineStr">
        <is>
          <t>No clickable images in the app.</t>
        </is>
      </c>
      <c r="H26" s="102" t="n"/>
      <c r="I26" s="105" t="n"/>
      <c r="J26" s="105" t="n"/>
      <c r="K26" s="102" t="n"/>
      <c r="L26" s="104" t="n"/>
    </row>
    <row r="27" ht="41" customHeight="1">
      <c r="B27" s="21" t="n"/>
      <c r="C27" s="65" t="n">
        <v>15</v>
      </c>
      <c r="D27" s="54" t="inlineStr">
        <is>
          <t>Images</t>
        </is>
      </c>
      <c r="E27" s="45" t="inlineStr">
        <is>
          <t xml:space="preserve">Do images display correctly when screen is zoomed in and out? </t>
        </is>
      </c>
      <c r="F27" s="106" t="inlineStr">
        <is>
          <t>Not applicable</t>
        </is>
      </c>
      <c r="G27" s="102" t="inlineStr">
        <is>
          <t>No images. (Zoom for the rest of the page was checked in test 9.)</t>
        </is>
      </c>
      <c r="H27" s="102" t="n"/>
      <c r="I27" s="105" t="n"/>
      <c r="J27" s="105" t="n"/>
      <c r="K27" s="102" t="n"/>
      <c r="L27" s="104" t="n"/>
    </row>
    <row r="28" ht="28" customHeight="1">
      <c r="B28" s="21" t="n"/>
      <c r="C28" s="65" t="n">
        <v>16</v>
      </c>
      <c r="D28" s="54" t="inlineStr">
        <is>
          <t>Images</t>
        </is>
      </c>
      <c r="E28" s="45" t="inlineStr">
        <is>
          <t>Do animated behaviours display correctly (e.g. Giff)</t>
        </is>
      </c>
      <c r="F28" s="106" t="inlineStr">
        <is>
          <t>Not applicable</t>
        </is>
      </c>
      <c r="G28" s="102" t="inlineStr">
        <is>
          <t>No GIFs or animations in the app.</t>
        </is>
      </c>
      <c r="H28" s="102" t="n"/>
      <c r="I28" s="105" t="n"/>
      <c r="J28" s="105" t="n"/>
      <c r="K28" s="102" t="n"/>
      <c r="L28" s="104" t="n"/>
    </row>
    <row r="29" ht="28" customHeight="1">
      <c r="B29" s="21" t="n"/>
      <c r="C29" s="65" t="n">
        <v>17</v>
      </c>
      <c r="D29" s="72" t="inlineStr">
        <is>
          <t>Videos</t>
        </is>
      </c>
      <c r="E29" s="45" t="inlineStr">
        <is>
          <t xml:space="preserve">Are videos displayed, positioned and rendered correctly on the page, with the correct thumbnails? </t>
        </is>
      </c>
      <c r="F29" s="106" t="inlineStr">
        <is>
          <t>Not applicable</t>
        </is>
      </c>
      <c r="G29" s="102" t="inlineStr">
        <is>
          <t>The app doesn't have any videos.</t>
        </is>
      </c>
      <c r="H29" s="102" t="n"/>
      <c r="I29" s="105" t="n"/>
      <c r="J29" s="105" t="n"/>
      <c r="K29" s="102" t="n"/>
      <c r="L29" s="104" t="n"/>
    </row>
    <row r="30" ht="63.7" customHeight="1">
      <c r="B30" s="21" t="n"/>
      <c r="C30" s="65" t="n">
        <v>18</v>
      </c>
      <c r="D30" s="72" t="inlineStr">
        <is>
          <t>Videos</t>
        </is>
      </c>
      <c r="E30" s="45" t="inlineStr">
        <is>
          <t>Do videos play correctly, including (where required):
- Auto play
- Click to play 
- Tap to play
- Picture in picture (PiP)</t>
        </is>
      </c>
      <c r="F30" s="106" t="inlineStr">
        <is>
          <t>Not applicable</t>
        </is>
      </c>
      <c r="G30" s="102" t="inlineStr">
        <is>
          <t>The app doesn't have any videos.</t>
        </is>
      </c>
      <c r="H30" s="102" t="n"/>
      <c r="I30" s="105" t="n"/>
      <c r="J30" s="105" t="n"/>
      <c r="K30" s="102" t="n"/>
      <c r="L30" s="104" t="n"/>
    </row>
    <row r="31" ht="28" customHeight="1">
      <c r="B31" s="21" t="n"/>
      <c r="C31" s="65" t="n">
        <v>19</v>
      </c>
      <c r="D31" s="72" t="inlineStr">
        <is>
          <t>Videos</t>
        </is>
      </c>
      <c r="E31" s="45" t="inlineStr">
        <is>
          <t>Do videos display with the correct defaults (e.g. auto-play, display inline or full screen)</t>
        </is>
      </c>
      <c r="F31" s="106" t="inlineStr">
        <is>
          <t>Not applicable</t>
        </is>
      </c>
      <c r="G31" s="102" t="inlineStr">
        <is>
          <t>The app doesn't have any videos.</t>
        </is>
      </c>
      <c r="H31" s="102" t="n"/>
      <c r="I31" s="105" t="n"/>
      <c r="J31" s="105" t="n"/>
      <c r="K31" s="102" t="n"/>
      <c r="L31" s="104" t="n"/>
    </row>
    <row r="32" ht="50.95" customHeight="1">
      <c r="B32" s="21" t="n"/>
      <c r="C32" s="65" t="n">
        <v>20</v>
      </c>
      <c r="D32" s="72" t="inlineStr">
        <is>
          <t>Videos</t>
        </is>
      </c>
      <c r="E32" s="45" t="inlineStr">
        <is>
          <t>Do all videos display suitable captions, including:
- Captions that match the video content
- Language preferences
- Location on screen</t>
        </is>
      </c>
      <c r="F32" s="106" t="inlineStr">
        <is>
          <t>Not applicable</t>
        </is>
      </c>
      <c r="G32" s="102" t="inlineStr">
        <is>
          <t>The app doesn't have any videos.</t>
        </is>
      </c>
      <c r="H32" s="102" t="n"/>
      <c r="I32" s="105" t="n"/>
      <c r="J32" s="105" t="n"/>
      <c r="K32" s="102" t="n"/>
      <c r="L32" s="104" t="n"/>
    </row>
    <row r="33" ht="50.95" customHeight="1">
      <c r="B33" s="21" t="n"/>
      <c r="C33" s="65" t="n">
        <v>21</v>
      </c>
      <c r="D33" s="72" t="inlineStr">
        <is>
          <t>Videos</t>
        </is>
      </c>
      <c r="E33" s="45" t="inlineStr">
        <is>
          <t>Can videos be moved to:
- Full screen mode 
- Embedded/inline mode
- Press escape from full-screen mode to revert back to inline mode</t>
        </is>
      </c>
      <c r="F33" s="106" t="inlineStr">
        <is>
          <t>Not applicable</t>
        </is>
      </c>
      <c r="G33" s="102" t="inlineStr">
        <is>
          <t>The app doesn't have any videos.</t>
        </is>
      </c>
      <c r="H33" s="102" t="n"/>
      <c r="I33" s="105" t="n"/>
      <c r="J33" s="105" t="n"/>
      <c r="K33" s="102" t="n"/>
      <c r="L33" s="104" t="n"/>
    </row>
    <row r="34" ht="114.65" customHeight="1">
      <c r="B34" s="21" t="n"/>
      <c r="C34" s="65" t="n">
        <v>22</v>
      </c>
      <c r="D34" s="72" t="inlineStr">
        <is>
          <t>Videos</t>
        </is>
      </c>
      <c r="E34" s="45" t="inlineStr">
        <is>
          <t>Do video controls work, including: 
- Play, pause, stop
- Fast forward and rewind (including skip X seconds forward/back)
- Volume 
- Mute/unmute 
- Playback speed (e.g. 0.5x, 1.5x, 2x)
- Resume from last position 
- Download / long-press
- Streaming vs. offline view</t>
        </is>
      </c>
      <c r="F34" s="106" t="inlineStr">
        <is>
          <t>Not applicable</t>
        </is>
      </c>
      <c r="G34" s="102" t="inlineStr">
        <is>
          <t>The app doesn't have any videos.</t>
        </is>
      </c>
      <c r="H34" s="102" t="n"/>
      <c r="I34" s="105" t="n"/>
      <c r="J34" s="105" t="n"/>
      <c r="K34" s="102" t="n"/>
      <c r="L34" s="104" t="n"/>
    </row>
    <row r="35" ht="80" customHeight="1">
      <c r="B35" s="21" t="n"/>
      <c r="C35" s="65" t="n">
        <v>23</v>
      </c>
      <c r="D35" s="51" t="inlineStr">
        <is>
          <t>Forms</t>
        </is>
      </c>
      <c r="E35" s="41" t="inlineStr">
        <is>
          <t xml:space="preserve">Are all required fields visible on the form? </t>
        </is>
      </c>
      <c r="F35" s="106" t="inlineStr">
        <is>
          <t>Pass</t>
        </is>
      </c>
      <c r="G35" s="102" t="inlineStr">
        <is>
          <t>The login form shows both fields I need (Student dropdown and Password) and the Sign in button. All visible without scrolling.</t>
        </is>
      </c>
      <c r="H35" s="102" t="n"/>
      <c r="I35" s="105" t="n"/>
      <c r="J35" s="105" t="n"/>
      <c r="K35" s="102" t="inlineStr">
        <is>
          <t>Compatibility Testing Evidence/android-login.png</t>
        </is>
      </c>
      <c r="L35" s="104" t="n">
        <v>0.99</v>
      </c>
    </row>
    <row r="36" ht="178.35" customHeight="1">
      <c r="B36" s="21" t="n"/>
      <c r="C36" s="65" t="n">
        <v>24</v>
      </c>
      <c r="D36" s="52" t="inlineStr">
        <is>
          <t>Forms</t>
        </is>
      </c>
      <c r="E36" s="49" t="inlineStr">
        <is>
          <t>Are all form fields positioned within the boundaries of the form, and not overlapping or truncating, including:
- Labels
- Single line textboxes
- Multi-line textboxes
- Dropdown lists
- Radio buttons
- Checkboxes 
- Date pickers
- Tables 
- Grids 
- Menus and submenus 
- Images
- Drag and drop</t>
        </is>
      </c>
      <c r="F36" s="106" t="inlineStr">
        <is>
          <t>Pass</t>
        </is>
      </c>
      <c r="G36" s="102" t="inlineStr">
        <is>
          <t>Labels, the dropdown, the password box and the button all sit inside the white form box. Nothing overlaps or gets cut off.</t>
        </is>
      </c>
      <c r="H36" s="102" t="n"/>
      <c r="I36" s="105" t="n"/>
      <c r="J36" s="105" t="n"/>
      <c r="K36" s="102" t="n"/>
      <c r="L36" s="104" t="n">
        <v>0.92</v>
      </c>
    </row>
    <row r="37" ht="127.4" customHeight="1">
      <c r="B37" s="21" t="n"/>
      <c r="C37" s="65" t="n">
        <v>25</v>
      </c>
      <c r="D37" s="52" t="inlineStr">
        <is>
          <t>Forms</t>
        </is>
      </c>
      <c r="E37" s="49" t="inlineStr">
        <is>
          <t>Does tool tip text display correctly for each field, including:
- Single line textboxes
- Multi-line textboxes
- Dropdown lists
- Radio buttons
- Checkboxes 
- Date pickers
- Tables 
- Grids 
- Drag and drop</t>
        </is>
      </c>
      <c r="F37" s="106" t="inlineStr">
        <is>
          <t>Not applicable</t>
        </is>
      </c>
      <c r="G37" s="102" t="inlineStr">
        <is>
          <t>Our form fields don't have tooltips. Each field has a label above it instead ("Student", "Password").</t>
        </is>
      </c>
      <c r="H37" s="102" t="n"/>
      <c r="I37" s="105" t="n"/>
      <c r="J37" s="105" t="n"/>
      <c r="K37" s="102" t="n"/>
      <c r="L37" s="104" t="n"/>
    </row>
    <row r="38" ht="142.9" customHeight="1">
      <c r="B38" s="21" t="n"/>
      <c r="C38" s="65" t="n">
        <v>26</v>
      </c>
      <c r="D38" s="52" t="inlineStr">
        <is>
          <t>Forms</t>
        </is>
      </c>
      <c r="E38" s="49" t="inlineStr">
        <is>
          <t>Can data be input into each field correctly, including:
- Single line textboxes
- Multi-line textboxes
- Dropdown lists
- Radio buttons
- Checkboxes 
- Date pickers
- Tables 
- Grids 
- Drag and drop
- Copy/paste</t>
        </is>
      </c>
      <c r="F38" s="106" t="inlineStr">
        <is>
          <t>Pass</t>
        </is>
      </c>
      <c r="G38" s="102" t="inlineStr">
        <is>
          <t>Picked a student from the dropdown and typed letters, numbers and symbols in the password box. Both worked and the password showed as dots. (Didn't test copy/paste because browsers block copying out of password boxes.)</t>
        </is>
      </c>
      <c r="H38" s="102" t="n"/>
      <c r="I38" s="105" t="n"/>
      <c r="J38" s="105" t="n"/>
      <c r="K38" s="102" t="n"/>
      <c r="L38" s="104" t="n">
        <v>0.97</v>
      </c>
    </row>
    <row r="39" ht="106" customHeight="1">
      <c r="B39" s="21" t="n"/>
      <c r="C39" s="65" t="n">
        <v>27</v>
      </c>
      <c r="D39" s="52" t="inlineStr">
        <is>
          <t>Forms</t>
        </is>
      </c>
      <c r="E39" s="49" t="inlineStr">
        <is>
          <t xml:space="preserve">When invalid/negative data is input into a field: 
- Are understandable error messages displayed? 
- Are error messages displayed at the right time (e.g. when focus leaves the field, or on save)?
- Are error messages positioned in the correct location?
- Are error validation icons (e.g. ticks, crosses) displayed in the correct location, colour and format? </t>
        </is>
      </c>
      <c r="F39" s="106" t="inlineStr">
        <is>
          <t>Pass</t>
        </is>
      </c>
      <c r="G39" s="102" t="inlineStr">
        <is>
          <t>Empty password: the browser stopped me and said "Please fill out this field.". Wrong password: a red "Invalid credentials" message showed just above the Sign in button after I clicked it.</t>
        </is>
      </c>
      <c r="H39" s="102" t="n"/>
      <c r="I39" s="105" t="n"/>
      <c r="J39" s="105" t="n"/>
      <c r="K39" s="102" t="inlineStr">
        <is>
          <t>Compatibility Testing Evidence/android-invalid-login.png</t>
        </is>
      </c>
      <c r="L39" s="104" t="n">
        <v>3.87</v>
      </c>
    </row>
    <row r="40" ht="93" customHeight="1">
      <c r="B40" s="21" t="n"/>
      <c r="C40" s="65" t="n">
        <v>28</v>
      </c>
      <c r="D40" s="52" t="inlineStr">
        <is>
          <t>Forms</t>
        </is>
      </c>
      <c r="E40" s="49" t="inlineStr">
        <is>
          <t xml:space="preserve">When placeholder text is included in each form field, is the text: 
- Visible 
- Understandable
- Rendered in the correct colour (i.e. to differentiate from user inputs) </t>
        </is>
      </c>
      <c r="F40" s="106" t="inlineStr">
        <is>
          <t>Pass</t>
        </is>
      </c>
      <c r="G40" s="102" t="inlineStr">
        <is>
          <t>When the student list can't load, the Student box shows the placeholder "e.g. S001" in grey, so it looks different from real typed text. Easy to understand.</t>
        </is>
      </c>
      <c r="H40" s="102" t="n"/>
      <c r="I40" s="105" t="n"/>
      <c r="J40" s="105" t="n"/>
      <c r="K40" s="102" t="inlineStr">
        <is>
          <t>Compatibility Testing Evidence/android-placeholder.png</t>
        </is>
      </c>
      <c r="L40" s="104" t="n">
        <v>0.2</v>
      </c>
    </row>
    <row r="41" ht="80" customHeight="1">
      <c r="B41" s="21" t="n"/>
      <c r="C41" s="65" t="n">
        <v>29</v>
      </c>
      <c r="D41" s="52" t="inlineStr">
        <is>
          <t>Forms</t>
        </is>
      </c>
      <c r="E41" s="49" t="inlineStr">
        <is>
          <t>Do form fields auto-complete correctly, using data previously saved by the browser?</t>
        </is>
      </c>
      <c r="F41" s="106" t="inlineStr">
        <is>
          <t>Not run</t>
        </is>
      </c>
      <c r="G41" s="102" t="inlineStr">
        <is>
          <t>The password box is set up for autofill (autocomplete="current-password"), but the test browser has no saved passwords so I couldn't try it.</t>
        </is>
      </c>
      <c r="H41" s="102" t="n"/>
      <c r="I41" s="105" t="n"/>
      <c r="J41" s="105" t="n"/>
      <c r="K41" s="102" t="n"/>
      <c r="L41" s="104" t="n"/>
    </row>
    <row r="42" ht="184" customHeight="1">
      <c r="A42" s="21" t="n"/>
      <c r="B42" s="21" t="n"/>
      <c r="C42" s="65" t="n">
        <v>30</v>
      </c>
      <c r="D42" s="53" t="inlineStr">
        <is>
          <t>Forms</t>
        </is>
      </c>
      <c r="E42" s="45" t="inlineStr">
        <is>
          <t xml:space="preserve">When the user submits a form (e.g. by clicking Save, Submit or OK):
- Is a visual indicator displayed to indicate that the form is saving (e.g. spinning wheel or progress bar)?
- After the form is saved/submitted, does an appropriate success message appear?
- Is the success message in the correct location, format and colour? </t>
        </is>
      </c>
      <c r="F42" s="100" t="inlineStr">
        <is>
          <t>Pass</t>
        </is>
      </c>
      <c r="G42" s="102" t="inlineStr">
        <is>
          <t>Login form: the button changes to "Signing in…" while it works and then the dashboard opens with "Hi Chloe". "Generate my study plan" also shows "Generating..." and then my personalised study plan appears for each knowledge gap. (This failed in my first test run - see DEF-02. After the fix I retested it and it passed.)</t>
        </is>
      </c>
      <c r="H42" s="102" t="inlineStr">
        <is>
          <t>DEF-02</t>
        </is>
      </c>
      <c r="I42" s="105" t="inlineStr">
        <is>
          <t>Minor</t>
        </is>
      </c>
      <c r="J42" s="105" t="inlineStr">
        <is>
          <t>AI study plan can't be generated: the server returns an error because no GROQ_API_KEY is configured on Render. Same on every system. This is a configuration issue (missing setting), not a bug in the code. Fixed: GROQ_API_KEY added to the backend on Render. Retested 05/10/2026: Pass.</t>
        </is>
      </c>
      <c r="K42" s="102" t="inlineStr">
        <is>
          <t>After fix: Compatibility Testing Evidence/android-ai-study-plan.png
Before fix: Compatibility Testing Evidence/first-run/android-ai-study-plan-error.png</t>
        </is>
      </c>
      <c r="L42" s="104" t="n">
        <v>7.73</v>
      </c>
    </row>
    <row r="43" ht="89.2" customFormat="1" customHeight="1" s="5">
      <c r="A43" s="28" t="n"/>
      <c r="B43" s="21" t="n"/>
      <c r="C43" s="65" t="n">
        <v>31</v>
      </c>
      <c r="D43" s="73" t="inlineStr">
        <is>
          <t>Interactions</t>
        </is>
      </c>
      <c r="E43" s="45" t="inlineStr">
        <is>
          <t>Do mouse inputs work correctly, including:
- Hover over (e.g. display tool tip text)
- Right mouse button click 
- Left mouse button click 
- Scroll wheel 
- Programmable mouse buttons
- Any other mouse buttons</t>
        </is>
      </c>
      <c r="F43" s="100" t="inlineStr">
        <is>
          <t>Not applicable</t>
        </is>
      </c>
      <c r="G43" s="102" t="inlineStr">
        <is>
          <t>Phones don't use a mouse. Touch is tested in test 33.</t>
        </is>
      </c>
      <c r="H43" s="102" t="n"/>
      <c r="I43" s="77" t="n"/>
      <c r="J43" s="77" t="n"/>
      <c r="K43" s="102" t="n"/>
      <c r="L43" s="104" t="n"/>
      <c r="M43" s="28" t="n"/>
    </row>
    <row r="44" ht="101.95" customFormat="1" customHeight="1" s="5">
      <c r="A44" s="28" t="n"/>
      <c r="B44" s="21" t="n"/>
      <c r="C44" s="65" t="n">
        <v>32</v>
      </c>
      <c r="D44" s="73" t="inlineStr">
        <is>
          <t>Interactions</t>
        </is>
      </c>
      <c r="E44" s="45" t="inlineStr">
        <is>
          <t>Do keyboard inputs work correctly, including:
- Letters
- Numbers
- Symbols
- Function keys (F1 to F12)
- Control keys (e.g. escape, control, command (Apple Mac) alt, shift, tab, print screen, enter, shift lock, num lock, etc.)
- Navigation keys (arrow keys, home, end, page up, page down)</t>
        </is>
      </c>
      <c r="F44" s="100" t="inlineStr">
        <is>
          <t>Pass</t>
        </is>
      </c>
      <c r="G44" s="102" t="inlineStr">
        <is>
          <t>Typed letters, numbers and symbols in the password box with the keyboard, Backspace deleted them, and pressing Enter (Go) logged me in.</t>
        </is>
      </c>
      <c r="H44" s="102" t="n"/>
      <c r="I44" s="77" t="n"/>
      <c r="J44" s="77" t="n"/>
      <c r="K44" s="102" t="n"/>
      <c r="L44" s="104" t="n">
        <v>3.28</v>
      </c>
      <c r="M44" s="28" t="n"/>
    </row>
    <row r="45" ht="191.1" customFormat="1" customHeight="1" s="5">
      <c r="A45" s="28" t="n"/>
      <c r="B45" s="21" t="n"/>
      <c r="C45" s="65" t="n">
        <v>33</v>
      </c>
      <c r="D45" s="73" t="inlineStr">
        <is>
          <t>Interactions</t>
        </is>
      </c>
      <c r="E45" s="45" t="inlineStr">
        <is>
          <t>Do touchscreen and mobile inputs work correctly, including: 
- Tap
- Double tap
- Multi-touch
- Long press / tap-and-hold
- Swipe
- Scroll 
- Two-finger scroll
- Pinch (zoom in) and spread (zoom out)
- Rotate screen 
- Back navigation (e.g. back button or swipe)
- Forward navigation (e.g. swipe)
- System gestures (e.g. swipe up from bottom of screen)
- Stylus based input
- Voice input</t>
        </is>
      </c>
      <c r="F45" s="100" t="inlineStr">
        <is>
          <t>Pass</t>
        </is>
      </c>
      <c r="G45" s="102" t="inlineStr">
        <is>
          <t>Tap works on the password box, Sign in and Sign out buttons. The page scrolls and still fits after rotating the phone. Couldn't test pinch zoom, long press, stylus or voice on the emulator.</t>
        </is>
      </c>
      <c r="H45" s="102" t="n"/>
      <c r="I45" s="77" t="n"/>
      <c r="J45" s="77" t="n"/>
      <c r="K45" s="102" t="n"/>
      <c r="L45" s="104" t="n">
        <v>4.01</v>
      </c>
      <c r="M45" s="28" t="n"/>
    </row>
    <row r="46" ht="101.95" customFormat="1" customHeight="1" s="5">
      <c r="A46" s="28" t="n"/>
      <c r="B46" s="21" t="n"/>
      <c r="C46" s="65" t="n">
        <v>34</v>
      </c>
      <c r="D46" s="73" t="inlineStr">
        <is>
          <t>Interactions</t>
        </is>
      </c>
      <c r="E46" s="45" t="inlineStr">
        <is>
          <t>Do smartwatch inputs work correctly, including: 
- Tap
- Swipe
- Long press (including on text, links, images and video)
- Button press
- Double button press
- Hard press 
- Voice input</t>
        </is>
      </c>
      <c r="F46" s="100" t="inlineStr">
        <is>
          <t>Not applicable</t>
        </is>
      </c>
      <c r="G46" s="102" t="inlineStr">
        <is>
          <t>Our app isn't made for smartwatches.</t>
        </is>
      </c>
      <c r="H46" s="102" t="n"/>
      <c r="I46" s="77" t="n"/>
      <c r="J46" s="77" t="n"/>
      <c r="K46" s="102" t="n"/>
      <c r="L46" s="104" t="n"/>
      <c r="M46" s="28" t="n"/>
    </row>
    <row r="47" ht="331.2" customFormat="1" customHeight="1" s="5">
      <c r="A47" s="28" t="n"/>
      <c r="B47" s="21" t="n"/>
      <c r="C47" s="65" t="n">
        <v>35</v>
      </c>
      <c r="D47" s="73" t="inlineStr">
        <is>
          <t>Interactions</t>
        </is>
      </c>
      <c r="E47" s="45" t="inlineStr">
        <is>
          <t>Do joystick inputs work correctly, including: 
- Buttons
       * Primary buttons (e.g. A, B, X, Y)
       * Select/confirm button (enter equivalent)
       * Cancel/back (escape equivalent)
       * Context actions (e.g. shortcuts)
       * Shoulder/trigger buttons (L1, L2, R1, R2)
       * Paging (scroll between sections)
       * Secondary actions (e.g. zoom, rotate)
       * Start button
       * Menu button 
- Directions  
        * Up, down, left, right, diagonal (navigating menus, moving focus)
        * Continuous hold vs. single press (scroll vs. step)
- Analog behaviour
       * Dead zone testing (ensuring slight nudges do not move focus unintentionally)
       * Sensitivity testing (slow vs. fast movements)
       * Left and right sticks 
       * Circular movement 
- Gestures &amp; special inputs - e.g. 
       * Long press buttons 
       * Double-tap buttons 
       * Combination presses (e.g. L1 + R1 = action A)
- System inputs 
       * Home/dashboard button (does app handle pausing/losing focus gracefully?)
       * Power button interactions (suspend, resume)</t>
        </is>
      </c>
      <c r="F47" s="100" t="inlineStr">
        <is>
          <t>Not applicable</t>
        </is>
      </c>
      <c r="G47" s="102" t="inlineStr">
        <is>
          <t>Our app isn't made for game controllers / joysticks.</t>
        </is>
      </c>
      <c r="H47" s="102" t="n"/>
      <c r="I47" s="77" t="n"/>
      <c r="J47" s="77" t="n"/>
      <c r="K47" s="102" t="n"/>
      <c r="L47" s="104" t="n"/>
      <c r="M47" s="28" t="n"/>
    </row>
    <row r="48" ht="28" customHeight="1">
      <c r="B48" s="21" t="n"/>
      <c r="C48" s="65" t="n">
        <v>36</v>
      </c>
      <c r="D48" s="64" t="inlineStr">
        <is>
          <t>File download</t>
        </is>
      </c>
      <c r="E48" s="41" t="inlineStr">
        <is>
          <t>Can files be downloaded correctly, including all supported file types, and for max file sizes?</t>
        </is>
      </c>
      <c r="F48" s="100" t="inlineStr">
        <is>
          <t>Not applicable</t>
        </is>
      </c>
      <c r="G48" s="102" t="inlineStr">
        <is>
          <t>The app doesn't have any file downloads.</t>
        </is>
      </c>
      <c r="H48" s="102" t="n"/>
      <c r="I48" s="105" t="n"/>
      <c r="J48" s="105" t="n"/>
      <c r="K48" s="102" t="n"/>
      <c r="L48" s="104" t="n"/>
    </row>
    <row r="49" ht="63.7" customHeight="1">
      <c r="B49" s="21" t="n"/>
      <c r="C49" s="65" t="n">
        <v>37</v>
      </c>
      <c r="D49" s="64" t="inlineStr">
        <is>
          <t>File download</t>
        </is>
      </c>
      <c r="E49" s="41" t="inlineStr">
        <is>
          <t>For each downloaded file: 
- Does the downloaded file open on the given device? 
- Are the file format, layout, fonts and styles correct?
- Is there no text overlapping or truncating?
- Are images displayed correctly?</t>
        </is>
      </c>
      <c r="F49" s="100" t="inlineStr">
        <is>
          <t>Not applicable</t>
        </is>
      </c>
      <c r="G49" s="102" t="inlineStr">
        <is>
          <t>The app doesn't have any file downloads.</t>
        </is>
      </c>
      <c r="H49" s="102" t="n"/>
      <c r="I49" s="105" t="n"/>
      <c r="J49" s="105" t="n"/>
      <c r="K49" s="102" t="n"/>
      <c r="L49" s="104" t="n"/>
    </row>
    <row r="50" ht="28" customFormat="1" customHeight="1" s="5">
      <c r="A50" s="28" t="n"/>
      <c r="B50" s="21" t="n"/>
      <c r="C50" s="65" t="n">
        <v>38</v>
      </c>
      <c r="D50" s="64" t="inlineStr">
        <is>
          <t>File download</t>
        </is>
      </c>
      <c r="E50" s="41" t="inlineStr">
        <is>
          <t>Is there a visual indicator displayed during the download process, so the user understands that a download is in progress (e.g. spinning wheel or progress bar)?</t>
        </is>
      </c>
      <c r="F50" s="100" t="inlineStr">
        <is>
          <t>Not applicable</t>
        </is>
      </c>
      <c r="G50" s="102" t="inlineStr">
        <is>
          <t>The app doesn't have any file downloads.</t>
        </is>
      </c>
      <c r="H50" s="102" t="n"/>
      <c r="I50" s="107" t="n"/>
      <c r="J50" s="77" t="n"/>
      <c r="K50" s="102" t="n"/>
      <c r="L50" s="104" t="n"/>
      <c r="M50" s="28" t="n"/>
    </row>
    <row r="51" ht="28" customFormat="1" customHeight="1" s="5">
      <c r="A51" s="28" t="n"/>
      <c r="B51" s="21" t="n"/>
      <c r="C51" s="65" t="n">
        <v>39</v>
      </c>
      <c r="D51" s="74" t="inlineStr">
        <is>
          <t>File upload</t>
        </is>
      </c>
      <c r="E51" s="41" t="inlineStr">
        <is>
          <t>Can files can uploaded successfully, across all supported file formats, including maximum file sizes?</t>
        </is>
      </c>
      <c r="F51" s="100" t="inlineStr">
        <is>
          <t>Not applicable</t>
        </is>
      </c>
      <c r="G51" s="102" t="inlineStr">
        <is>
          <t>The app doesn't have any file uploads.</t>
        </is>
      </c>
      <c r="H51" s="102" t="n"/>
      <c r="I51" s="107" t="n"/>
      <c r="J51" s="77" t="n"/>
      <c r="K51" s="102" t="n"/>
      <c r="L51" s="104" t="n"/>
      <c r="M51" s="28" t="n"/>
    </row>
    <row r="52" ht="28" customFormat="1" customHeight="1" s="5">
      <c r="A52" s="28" t="n"/>
      <c r="B52" s="21" t="n"/>
      <c r="C52" s="65" t="n">
        <v>40</v>
      </c>
      <c r="D52" s="74" t="inlineStr">
        <is>
          <t>File upload</t>
        </is>
      </c>
      <c r="E52" s="41" t="inlineStr">
        <is>
          <t>Is there a visual indicator displayed during the upload process, so the user understands that an upload is in progress (e.g. spinning wheel or progress bar)?</t>
        </is>
      </c>
      <c r="F52" s="100" t="inlineStr">
        <is>
          <t>Not applicable</t>
        </is>
      </c>
      <c r="G52" s="102" t="inlineStr">
        <is>
          <t>The app doesn't have any file uploads.</t>
        </is>
      </c>
      <c r="H52" s="102" t="n"/>
      <c r="I52" s="107" t="n"/>
      <c r="J52" s="77" t="n"/>
      <c r="K52" s="102" t="n"/>
      <c r="L52" s="104" t="n"/>
      <c r="M52" s="28" t="n"/>
    </row>
    <row r="53" ht="38.25" customFormat="1" customHeight="1" s="5">
      <c r="A53" s="28" t="n"/>
      <c r="B53" s="21" t="n"/>
      <c r="C53" s="65" t="n">
        <v>41</v>
      </c>
      <c r="D53" s="74" t="inlineStr">
        <is>
          <t>File upload</t>
        </is>
      </c>
      <c r="E53" s="41" t="inlineStr">
        <is>
          <t xml:space="preserve">Is a suitable error message displayed for:
- File sizes that are too big 
- Incorrect file formats? </t>
        </is>
      </c>
      <c r="F53" s="100" t="inlineStr">
        <is>
          <t>Not applicable</t>
        </is>
      </c>
      <c r="G53" s="102" t="inlineStr">
        <is>
          <t>The app doesn't have any file uploads.</t>
        </is>
      </c>
      <c r="H53" s="102" t="n"/>
      <c r="I53" s="107" t="n"/>
      <c r="J53" s="77" t="n"/>
      <c r="K53" s="102" t="n"/>
      <c r="L53" s="104" t="n"/>
      <c r="M53" s="28" t="n"/>
    </row>
    <row r="54" ht="132" customHeight="1">
      <c r="B54" s="21" t="n"/>
      <c r="C54" s="65" t="n">
        <v>42</v>
      </c>
      <c r="D54" s="63" t="inlineStr">
        <is>
          <t>Links and navigation</t>
        </is>
      </c>
      <c r="E54" s="45" t="inlineStr">
        <is>
          <t>Is the user able to:  
- Navigate to each field on the page
- Navigate to each link on the page 
- Activate each link on the page 
- Navigate to each menu option on the page 
- Activate each menu option on the page 
- Utilise fields on pop-up screens
- Navigate to next page and previous page 
- Navigate to home page 
- Navigate via voice input</t>
        </is>
      </c>
      <c r="F54" s="100" t="inlineStr">
        <is>
          <t>Pass</t>
        </is>
      </c>
      <c r="G54" s="102" t="inlineStr">
        <is>
          <t>I could move to every field and button (Student -&gt; Password -&gt; Sign in). After login, refreshing the page kept me logged in, and Sign out took me back to the login page. Our app is one page so there is no next/previous page.</t>
        </is>
      </c>
      <c r="H54" s="102" t="n"/>
      <c r="I54" s="105" t="n"/>
      <c r="J54" s="105" t="n"/>
      <c r="K54" s="102" t="n"/>
      <c r="L54" s="104" t="n">
        <v>5.54</v>
      </c>
    </row>
    <row r="55" ht="63.7" customHeight="1">
      <c r="B55" s="21" t="n"/>
      <c r="C55" s="65" t="n">
        <v>43</v>
      </c>
      <c r="D55" s="54" t="inlineStr">
        <is>
          <t>Links and navigation</t>
        </is>
      </c>
      <c r="E55" s="45" t="inlineStr">
        <is>
          <t>Do all hyperlinks function correctly, in terms of:
- Hover over (showing tool tip text)
- Left mouse click 
- Keyboard activate (tab to the link and hit enter)
- Long-press / tap-and-hold</t>
        </is>
      </c>
      <c r="F55" s="106" t="inlineStr">
        <is>
          <t>Not applicable</t>
        </is>
      </c>
      <c r="G55" s="102" t="inlineStr">
        <is>
          <t>There are no hyperlinks in our app, only buttons (checked in tests 31 and 42).</t>
        </is>
      </c>
      <c r="H55" s="102" t="n"/>
      <c r="I55" s="105" t="n"/>
      <c r="J55" s="105" t="n"/>
      <c r="K55" s="102" t="n"/>
      <c r="L55" s="104" t="n"/>
    </row>
    <row r="56" ht="63.7" customHeight="1">
      <c r="B56" s="21" t="n"/>
      <c r="C56" s="65" t="n">
        <v>44</v>
      </c>
      <c r="D56" s="54" t="inlineStr">
        <is>
          <t>Links and navigation</t>
        </is>
      </c>
      <c r="E56" s="45" t="inlineStr">
        <is>
          <t>Can the user navigate within the web page using the keyboard only, including: 
- Page up 
- Page down 
- Arrow keys 
- Tab / shift tab</t>
        </is>
      </c>
      <c r="F56" s="106" t="inlineStr">
        <is>
          <t>Not applicable</t>
        </is>
      </c>
      <c r="G56" s="102" t="inlineStr">
        <is>
          <t>Phones don't have Page Up / Page Down or arrow keys.</t>
        </is>
      </c>
      <c r="H56" s="102" t="n"/>
      <c r="I56" s="105" t="n"/>
      <c r="J56" s="105" t="n"/>
      <c r="K56" s="102" t="n"/>
      <c r="L56" s="104" t="n"/>
    </row>
    <row r="57" ht="54" customHeight="1">
      <c r="B57" s="21" t="n"/>
      <c r="C57" s="65" t="n">
        <v>45</v>
      </c>
      <c r="D57" s="72" t="inlineStr">
        <is>
          <t>Haptic feedback</t>
        </is>
      </c>
      <c r="E57" s="45" t="inlineStr">
        <is>
          <t xml:space="preserve">For devices, does haptic feedback work correctly including for: 
- Links 
- Buttons 
- Input fields </t>
        </is>
      </c>
      <c r="F57" s="106" t="inlineStr">
        <is>
          <t>Not applicable</t>
        </is>
      </c>
      <c r="G57" s="102" t="inlineStr">
        <is>
          <t>Haptic (vibration) feedback can't be felt on an emulator, and our app doesn't use vibration.</t>
        </is>
      </c>
      <c r="H57" s="102" t="n"/>
      <c r="I57" s="105" t="n"/>
      <c r="J57" s="105" t="n"/>
      <c r="K57" s="102" t="n"/>
      <c r="L57" s="104" t="n"/>
    </row>
    <row r="58" ht="38.25" customHeight="1">
      <c r="B58" s="21" t="n"/>
      <c r="C58" s="65" t="n">
        <v>46</v>
      </c>
      <c r="D58" s="54" t="inlineStr">
        <is>
          <t>Search field</t>
        </is>
      </c>
      <c r="E58" s="45" t="inlineStr">
        <is>
          <t xml:space="preserve">Is the search bar:
- Displayed in the correctly location? 
- Expand when clicked/in focus (if applicable)? </t>
        </is>
      </c>
      <c r="F58" s="106" t="inlineStr">
        <is>
          <t>Not applicable</t>
        </is>
      </c>
      <c r="G58" s="102" t="inlineStr">
        <is>
          <t>The app doesn't have a search bar.</t>
        </is>
      </c>
      <c r="H58" s="102" t="n"/>
      <c r="I58" s="105" t="n"/>
      <c r="J58" s="105" t="n"/>
      <c r="K58" s="102" t="n"/>
      <c r="L58" s="104" t="n"/>
    </row>
    <row r="59" ht="76.45" customHeight="1">
      <c r="A59" s="40" t="n"/>
      <c r="C59" s="65" t="n">
        <v>47</v>
      </c>
      <c r="D59" s="72" t="inlineStr">
        <is>
          <t xml:space="preserve">Printing </t>
        </is>
      </c>
      <c r="E59" s="49" t="inlineStr">
        <is>
          <t>Does print functionality work correctly including for: 
- Font style and size
- Page alignment 
- Page graphics 
- Page fits to the paper size 
- Print preview</t>
        </is>
      </c>
      <c r="F59" s="106" t="inlineStr">
        <is>
          <t>Pass</t>
        </is>
      </c>
      <c r="G59" s="102" t="inlineStr">
        <is>
          <t>Checked the print view at A4 size. Text, fonts and the mastery bars all fit on the page and nothing was cut off.</t>
        </is>
      </c>
      <c r="H59" s="102" t="n"/>
      <c r="I59" s="105" t="n"/>
      <c r="J59" s="105" t="n"/>
      <c r="K59" s="102" t="inlineStr">
        <is>
          <t>Compatibility Testing Evidence/android-print-preview.png</t>
        </is>
      </c>
      <c r="L59" s="104" t="n">
        <v>4.16</v>
      </c>
    </row>
    <row r="60">
      <c r="B60" s="21" t="n"/>
      <c r="C60" s="30" t="n"/>
      <c r="D60" s="30" t="n"/>
      <c r="E60" s="31" t="n"/>
      <c r="F60" s="32" t="n"/>
      <c r="G60" s="32" t="n"/>
      <c r="H60" s="32" t="n"/>
      <c r="I60" s="32" t="n"/>
      <c r="J60" s="32" t="n"/>
      <c r="K60" s="32" t="n"/>
      <c r="L60" s="24" t="n"/>
    </row>
    <row r="61">
      <c r="B61" s="21" t="n"/>
      <c r="C61" s="33" t="n"/>
      <c r="E61" s="34" t="n"/>
      <c r="F61" s="35" t="n"/>
      <c r="G61" s="35" t="n"/>
      <c r="H61" s="35" t="n"/>
      <c r="I61" s="35" t="n"/>
      <c r="J61" s="35" t="n"/>
      <c r="K61" s="35" t="n"/>
      <c r="L61" s="24" t="n"/>
    </row>
    <row r="62" ht="13.3" customHeight="1" thickBot="1">
      <c r="B62" s="36" t="n"/>
      <c r="C62" s="37" t="inlineStr">
        <is>
          <t xml:space="preserve">© Planit </t>
        </is>
      </c>
      <c r="D62" s="38" t="n"/>
      <c r="E62" s="38" t="n"/>
      <c r="F62" s="39" t="n"/>
      <c r="G62" s="39" t="n"/>
      <c r="H62" s="39" t="n"/>
      <c r="I62" s="39" t="n"/>
      <c r="J62" s="39" t="n"/>
      <c r="K62" s="39" t="n"/>
      <c r="L62" s="29" t="n"/>
    </row>
    <row r="63">
      <c r="G63" s="10" t="n"/>
      <c r="H63" s="10" t="n"/>
      <c r="K63" s="10" t="n"/>
    </row>
    <row r="64">
      <c r="C64" s="11" t="n"/>
      <c r="D64" s="108" t="inlineStr">
        <is>
          <t>Test Metrics</t>
        </is>
      </c>
      <c r="G64" s="10" t="n"/>
      <c r="H64" s="10" t="n"/>
      <c r="K64" s="10" t="n"/>
    </row>
    <row r="65">
      <c r="C65" s="13" t="n"/>
      <c r="D65" s="14" t="n"/>
      <c r="E65" s="109" t="inlineStr">
        <is>
          <t>Total checks in the checklist</t>
        </is>
      </c>
      <c r="F65" s="110">
        <f>COUNTA(C13:C59)</f>
        <v>47.0</v>
      </c>
      <c r="G65" s="10" t="n"/>
      <c r="H65" s="10" t="n"/>
      <c r="K65" s="10" t="n"/>
    </row>
    <row r="66">
      <c r="C66" s="13" t="n"/>
      <c r="D66" s="14" t="n"/>
      <c r="E66" s="109" t="inlineStr">
        <is>
          <t>Tests executed (Pass + Fail)</t>
        </is>
      </c>
      <c r="F66" s="110">
        <f>COUNTIF(F13:F59,"Pass")+COUNTIF(F13:F59,"Fail")</f>
        <v>20.0</v>
      </c>
    </row>
    <row r="67">
      <c r="C67" s="13" t="n"/>
      <c r="D67" s="14" t="n"/>
      <c r="E67" s="109" t="inlineStr">
        <is>
          <t>Passed</t>
        </is>
      </c>
      <c r="F67" s="110">
        <f>COUNTIF(F13:F59,"Pass")</f>
        <v>20.0</v>
      </c>
    </row>
    <row r="68">
      <c r="C68" s="11" t="n"/>
      <c r="D68" s="12" t="n"/>
      <c r="E68" s="109" t="inlineStr">
        <is>
          <t>Failed</t>
        </is>
      </c>
      <c r="F68" s="110">
        <f>COUNTIF(F13:F59,"Fail")</f>
        <v>0.0</v>
      </c>
    </row>
    <row r="69">
      <c r="C69" s="11" t="n"/>
      <c r="D69" s="12" t="n"/>
      <c r="E69" s="109" t="inlineStr">
        <is>
          <t>Not run</t>
        </is>
      </c>
      <c r="F69" s="110">
        <f>COUNTIF(F13:F59,"Not run")</f>
        <v>1.0</v>
      </c>
    </row>
    <row r="70">
      <c r="E70" s="109" t="inlineStr">
        <is>
          <t>Not applicable</t>
        </is>
      </c>
      <c r="F70" s="110">
        <f>COUNTIF(F13:F59,"Not applicable")</f>
        <v>26.0</v>
      </c>
    </row>
    <row r="71">
      <c r="E71" s="109" t="inlineStr">
        <is>
          <t>Total time taken to execute the tests (sec)</t>
        </is>
      </c>
      <c r="F71" s="111">
        <f>SUM(L13:L59)</f>
        <v>65.05</v>
      </c>
    </row>
    <row r="72">
      <c r="E72" s="109" t="inlineStr">
        <is>
          <t>Average time taken per test (sec)</t>
        </is>
      </c>
      <c r="F72" s="111">
        <f>IFERROR(F71/F66,0)</f>
        <v>3.2525</v>
      </c>
    </row>
    <row r="73">
      <c r="E73" s="109" t="inlineStr">
        <is>
          <t>Pass rate</t>
        </is>
      </c>
      <c r="F73" s="112">
        <f>IFERROR(F67/F66,0)</f>
        <v>1.0</v>
      </c>
    </row>
    <row r="74">
      <c r="E74" s="109" t="inlineStr">
        <is>
          <t>Failure rate</t>
        </is>
      </c>
      <c r="F74" s="112">
        <f>IFERROR(F68/F66,0)</f>
        <v>0.0</v>
      </c>
    </row>
    <row r="75">
      <c r="E75" s="113" t="inlineStr">
        <is>
          <t>Pass rate = Passed ÷ Tests executed. "Not applicable" and "Not run" tests are not counted in the rates or the average.</t>
        </is>
      </c>
    </row>
  </sheetData>
  <conditionalFormatting sqref="F13:K59">
    <cfRule type="cellIs" priority="1" operator="equal" dxfId="5" stopIfTrue="1">
      <formula>RiskAccepted</formula>
    </cfRule>
    <cfRule type="cellIs" priority="2" operator="equal" dxfId="4" stopIfTrue="1">
      <formula>Conforming</formula>
    </cfRule>
    <cfRule type="cellIs" priority="3" operator="equal" dxfId="3" stopIfTrue="1">
      <formula>NotConforming</formula>
    </cfRule>
    <cfRule type="cellIs" priority="4" operator="equal" dxfId="2" stopIfTrue="1">
      <formula>OutOfScope</formula>
    </cfRule>
  </conditionalFormatting>
  <conditionalFormatting sqref="I13:J58">
    <cfRule type="colorScale" priority="71">
      <colorScale>
        <cfvo type="min"/>
        <cfvo type="max"/>
        <color rgb="FFFF7128"/>
        <color rgb="FFFFEF9C"/>
      </colorScale>
    </cfRule>
  </conditionalFormatting>
  <conditionalFormatting sqref="I59:J59">
    <cfRule type="colorScale" priority="7">
      <colorScale>
        <cfvo type="min"/>
        <cfvo type="max"/>
        <color rgb="FFFF7128"/>
        <color rgb="FFFFEF9C"/>
      </colorScale>
    </cfRule>
  </conditionalFormatting>
  <conditionalFormatting sqref="I13:K59">
    <cfRule type="cellIs" priority="31" operator="equal" dxfId="1">
      <formula>"Major"</formula>
    </cfRule>
    <cfRule type="cellIs" priority="32" operator="equal" dxfId="0">
      <formula>"Minor"</formula>
    </cfRule>
  </conditionalFormatting>
  <conditionalFormatting sqref="F13:F59">
    <cfRule type="cellIs" priority="9" operator="equal" dxfId="6">
      <formula>"Pass"</formula>
    </cfRule>
    <cfRule type="cellIs" priority="10" operator="equal" dxfId="7">
      <formula>"Fail"</formula>
    </cfRule>
  </conditionalFormatting>
  <dataValidations count="2">
    <dataValidation sqref="F13:F59" showDropDown="0" showInputMessage="0" showErrorMessage="0" allowBlank="1" type="list">
      <formula1>Status</formula1>
    </dataValidation>
    <dataValidation sqref="I13:I59" showDropDown="0" showInputMessage="0" showErrorMessage="0" allowBlank="1" type="list">
      <formula1>Variables!$D$2:$D$3</formula1>
    </dataValidation>
  </dataValidations>
  <pageMargins left="0.2362204724409449" right="0.2362204724409449" top="0.7480314960629921" bottom="0.7480314960629921" header="0.3149606299212598" footer="0.3149606299212598"/>
  <pageSetup orientation="landscape" paperSize="9"/>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8"/>
  <sheetViews>
    <sheetView workbookViewId="0">
      <selection activeCell="B12" sqref="B12"/>
    </sheetView>
  </sheetViews>
  <sheetFormatPr baseColWidth="8" defaultRowHeight="12.75"/>
  <cols>
    <col width="20.5" bestFit="1" customWidth="1" min="1" max="1"/>
    <col width="46.59765625" bestFit="1" customWidth="1" min="2" max="2"/>
  </cols>
  <sheetData>
    <row r="1">
      <c r="A1" s="60" t="inlineStr">
        <is>
          <t>Lookup values</t>
        </is>
      </c>
      <c r="B1" s="60" t="inlineStr">
        <is>
          <t>Meaning</t>
        </is>
      </c>
      <c r="D1" s="61" t="inlineStr">
        <is>
          <t>Severity</t>
        </is>
      </c>
    </row>
    <row r="2">
      <c r="A2" s="58" t="inlineStr">
        <is>
          <t>Pass</t>
        </is>
      </c>
      <c r="B2" s="58" t="inlineStr">
        <is>
          <t>Result matches requirements and/or expectations</t>
        </is>
      </c>
      <c r="D2" s="62" t="inlineStr">
        <is>
          <t>Major</t>
        </is>
      </c>
    </row>
    <row r="3">
      <c r="A3" s="59" t="inlineStr">
        <is>
          <t>Fail</t>
        </is>
      </c>
      <c r="B3" s="58" t="inlineStr">
        <is>
          <t>Result does not match requirements and/or expectations</t>
        </is>
      </c>
      <c r="D3" s="62" t="inlineStr">
        <is>
          <t>Minor</t>
        </is>
      </c>
    </row>
    <row r="4">
      <c r="A4" s="59" t="inlineStr">
        <is>
          <t>Not run</t>
        </is>
      </c>
      <c r="B4" s="59" t="inlineStr">
        <is>
          <t>Test was not run</t>
        </is>
      </c>
      <c r="D4" s="2" t="n"/>
    </row>
    <row r="5">
      <c r="A5" s="59" t="inlineStr">
        <is>
          <t>Out of scope</t>
        </is>
      </c>
      <c r="B5" s="59" t="inlineStr">
        <is>
          <t>Client has moved the test out of scope for the given page</t>
        </is>
      </c>
      <c r="D5" s="2" t="n"/>
    </row>
    <row r="6">
      <c r="A6" s="59" t="inlineStr">
        <is>
          <t>Not applicable</t>
        </is>
      </c>
      <c r="B6" s="59" t="inlineStr">
        <is>
          <t>Test is not applicable for the given page</t>
        </is>
      </c>
      <c r="D6" s="2" t="n"/>
    </row>
    <row r="7">
      <c r="A7" s="59" t="inlineStr">
        <is>
          <t>Question</t>
        </is>
      </c>
      <c r="B7" s="59" t="inlineStr">
        <is>
          <t>Test result is inconclusive and requires discussion</t>
        </is>
      </c>
    </row>
    <row r="8">
      <c r="A8" s="1" t="n"/>
      <c r="B8" s="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2009-02-26T07:29:39Z</dcterms:created>
  <dcterms:modified xmlns:dcterms="http://purl.org/dc/terms/" xmlns:xsi="http://www.w3.org/2001/XMLSchema-instance" xsi:type="dcterms:W3CDTF">2026-10-05T13:19:46Z</dcterms:modified>
  <cp:lastModifiedBy>Tafline Ramos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0x010100D7CA7F74B785704BA253A66C5928C083</vt:lpwstr>
  </property>
  <property name="Order" fmtid="{D5CDD505-2E9C-101B-9397-08002B2CF9AE}" pid="3">
    <vt:r8 xmlns:vt="http://schemas.openxmlformats.org/officeDocument/2006/docPropsVTypes">8300</vt:r8>
  </property>
  <property name="xd_Signature" fmtid="{D5CDD505-2E9C-101B-9397-08002B2CF9AE}" pid="4">
    <vt:bool xmlns:vt="http://schemas.openxmlformats.org/officeDocument/2006/docPropsVTypes">0</vt:bool>
  </property>
  <property name="xd_ProgID" fmtid="{D5CDD505-2E9C-101B-9397-08002B2CF9AE}" pid="5">
    <vt:lpwstr xmlns:vt="http://schemas.openxmlformats.org/officeDocument/2006/docPropsVTypes"/>
  </property>
  <property name="ComplianceAssetId" fmtid="{D5CDD505-2E9C-101B-9397-08002B2CF9AE}" pid="6">
    <vt:lpwstr xmlns:vt="http://schemas.openxmlformats.org/officeDocument/2006/docPropsVTypes"/>
  </property>
  <property name="TemplateUrl" fmtid="{D5CDD505-2E9C-101B-9397-08002B2CF9AE}" pid="7">
    <vt:lpwstr xmlns:vt="http://schemas.openxmlformats.org/officeDocument/2006/docPropsVTypes"/>
  </property>
  <property name="MSIP_Label_a06b1757-be9e-4cae-9dd0-3f502b9c4f57_Enabled" fmtid="{D5CDD505-2E9C-101B-9397-08002B2CF9AE}" pid="8">
    <vt:lpwstr xmlns:vt="http://schemas.openxmlformats.org/officeDocument/2006/docPropsVTypes">true</vt:lpwstr>
  </property>
  <property name="MSIP_Label_a06b1757-be9e-4cae-9dd0-3f502b9c4f57_SetDate" fmtid="{D5CDD505-2E9C-101B-9397-08002B2CF9AE}" pid="9">
    <vt:lpwstr xmlns:vt="http://schemas.openxmlformats.org/officeDocument/2006/docPropsVTypes">2023-06-20T02:29:43Z</vt:lpwstr>
  </property>
  <property name="MSIP_Label_a06b1757-be9e-4cae-9dd0-3f502b9c4f57_Method" fmtid="{D5CDD505-2E9C-101B-9397-08002B2CF9AE}" pid="10">
    <vt:lpwstr xmlns:vt="http://schemas.openxmlformats.org/officeDocument/2006/docPropsVTypes">Standard</vt:lpwstr>
  </property>
  <property name="MSIP_Label_a06b1757-be9e-4cae-9dd0-3f502b9c4f57_Name" fmtid="{D5CDD505-2E9C-101B-9397-08002B2CF9AE}" pid="11">
    <vt:lpwstr xmlns:vt="http://schemas.openxmlformats.org/officeDocument/2006/docPropsVTypes">Internal</vt:lpwstr>
  </property>
  <property name="MSIP_Label_a06b1757-be9e-4cae-9dd0-3f502b9c4f57_SiteId" fmtid="{D5CDD505-2E9C-101B-9397-08002B2CF9AE}" pid="12">
    <vt:lpwstr xmlns:vt="http://schemas.openxmlformats.org/officeDocument/2006/docPropsVTypes">a91bb61f-4251-4711-ab1b-fa2751a2bca5</vt:lpwstr>
  </property>
  <property name="MSIP_Label_a06b1757-be9e-4cae-9dd0-3f502b9c4f57_ActionId" fmtid="{D5CDD505-2E9C-101B-9397-08002B2CF9AE}" pid="13">
    <vt:lpwstr xmlns:vt="http://schemas.openxmlformats.org/officeDocument/2006/docPropsVTypes">20950934-4869-4ac1-9625-6051096de390</vt:lpwstr>
  </property>
  <property name="MSIP_Label_a06b1757-be9e-4cae-9dd0-3f502b9c4f57_ContentBits" fmtid="{D5CDD505-2E9C-101B-9397-08002B2CF9AE}" pid="14">
    <vt:lpwstr xmlns:vt="http://schemas.openxmlformats.org/officeDocument/2006/docPropsVTypes">0</vt:lpwstr>
  </property>
  <property name="MediaServiceImageTags" fmtid="{D5CDD505-2E9C-101B-9397-08002B2CF9AE}" pid="15">
    <vt:lpwstr xmlns:vt="http://schemas.openxmlformats.org/officeDocument/2006/docPropsVTypes"/>
  </property>
</Properties>
</file>